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/Documents/PEGADAIAN/PEGADAIAN/TIMESHIIT/2026/26 Apr 26/"/>
    </mc:Choice>
  </mc:AlternateContent>
  <xr:revisionPtr revIDLastSave="0" documentId="13_ncr:1_{382398EE-6DE7-A448-B1F9-38DDD492FE59}" xr6:coauthVersionLast="47" xr6:coauthVersionMax="47" xr10:uidLastSave="{00000000-0000-0000-0000-000000000000}"/>
  <bookViews>
    <workbookView xWindow="11480" yWindow="0" windowWidth="22120" windowHeight="21000" activeTab="1" xr2:uid="{00000000-000D-0000-FFFF-FFFF00000000}"/>
  </bookViews>
  <sheets>
    <sheet name="DATA" sheetId="1" r:id="rId1"/>
    <sheet name="PERHITUNGAN LEMBAR KERJA" sheetId="2" r:id="rId2"/>
    <sheet name="MANDAYS CONSUMPTION REPORT" sheetId="3" r:id="rId3"/>
  </sheets>
  <definedNames>
    <definedName name="Z_84170021_B670_446E_8134_AE03FFD6AF7F_.wvu.FilterData" localSheetId="0" hidden="1">DATA!$F$8:$O$14</definedName>
  </definedNames>
  <calcPr calcId="191029"/>
  <customWorkbookViews>
    <customWorkbookView name="Filter 1" guid="{84170021-B670-446E-8134-AE03FFD6AF7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2" l="1"/>
  <c r="H27" i="2"/>
  <c r="H31" i="2"/>
  <c r="H30" i="2"/>
  <c r="H29" i="2"/>
  <c r="H28" i="2"/>
  <c r="J28" i="2" s="1"/>
  <c r="V48" i="3"/>
  <c r="J29" i="2"/>
  <c r="J30" i="2"/>
  <c r="J31" i="2"/>
  <c r="V54" i="3"/>
  <c r="V55" i="3" s="1"/>
  <c r="J59" i="3" l="1"/>
  <c r="H59" i="3"/>
  <c r="H33" i="2"/>
  <c r="H32" i="2"/>
  <c r="J58" i="3"/>
  <c r="AI9" i="3"/>
  <c r="Q58" i="3" s="1"/>
  <c r="AE9" i="3"/>
  <c r="N58" i="3" s="1"/>
  <c r="E9" i="3"/>
  <c r="S64" i="3" s="1"/>
  <c r="AE8" i="3"/>
  <c r="E8" i="3"/>
  <c r="Y64" i="3" s="1"/>
  <c r="AE7" i="3"/>
  <c r="M64" i="3" s="1"/>
  <c r="E7" i="3"/>
  <c r="AE6" i="3"/>
  <c r="E6" i="3"/>
  <c r="A3" i="3"/>
  <c r="J33" i="2"/>
  <c r="J32" i="2"/>
  <c r="AH9" i="2"/>
  <c r="Q27" i="2" s="1"/>
  <c r="AC9" i="2"/>
  <c r="N27" i="2" s="1"/>
  <c r="E9" i="2"/>
  <c r="S33" i="2" s="1"/>
  <c r="AC8" i="2"/>
  <c r="E8" i="2"/>
  <c r="Y33" i="2" s="1"/>
  <c r="AC7" i="2"/>
  <c r="M33" i="2" s="1"/>
  <c r="E7" i="2"/>
  <c r="AC6" i="2"/>
  <c r="E6" i="2"/>
  <c r="A3" i="2"/>
  <c r="J60" i="3" l="1"/>
  <c r="H58" i="3"/>
  <c r="H60" i="3" s="1"/>
  <c r="H34" i="2"/>
  <c r="J34" i="2"/>
</calcChain>
</file>

<file path=xl/sharedStrings.xml><?xml version="1.0" encoding="utf-8"?>
<sst xmlns="http://schemas.openxmlformats.org/spreadsheetml/2006/main" count="338" uniqueCount="161">
  <si>
    <t>EMPLOYEE DATA</t>
  </si>
  <si>
    <t>Employee Name</t>
  </si>
  <si>
    <t>:</t>
  </si>
  <si>
    <t>Annas Putra Anuraga</t>
  </si>
  <si>
    <t>Employee No.</t>
  </si>
  <si>
    <t>POJ42050260</t>
  </si>
  <si>
    <t>Company Name</t>
  </si>
  <si>
    <t>PT Pesonna Optima Jasa</t>
  </si>
  <si>
    <t>Client Site</t>
  </si>
  <si>
    <t xml:space="preserve">Divisi Pengembangan Aplikasi TI - PT Pegadaian </t>
  </si>
  <si>
    <t>Work Unit</t>
  </si>
  <si>
    <t>Dept. IT Bussines Analyst</t>
  </si>
  <si>
    <t>Dept. Head Name</t>
  </si>
  <si>
    <t>Andhar Setiawan</t>
  </si>
  <si>
    <t xml:space="preserve">Supervisor </t>
  </si>
  <si>
    <t>Lailatul Fitriana R</t>
  </si>
  <si>
    <t>Squad</t>
  </si>
  <si>
    <t>Report Period</t>
  </si>
  <si>
    <t>to</t>
  </si>
  <si>
    <t>REKAPITULASI PERHITUNGAN LEMBAR KERJA</t>
  </si>
  <si>
    <t>Employee Number</t>
  </si>
  <si>
    <t>Month</t>
  </si>
  <si>
    <t>Date</t>
  </si>
  <si>
    <t>WH</t>
  </si>
  <si>
    <t>- Work Hours</t>
  </si>
  <si>
    <t>OT</t>
  </si>
  <si>
    <t>- Over Time</t>
  </si>
  <si>
    <t>H</t>
  </si>
  <si>
    <t>- Holidays</t>
  </si>
  <si>
    <t>AL</t>
  </si>
  <si>
    <t>- Annual Leave</t>
  </si>
  <si>
    <t>S</t>
  </si>
  <si>
    <t>- Sick Leave</t>
  </si>
  <si>
    <t>U</t>
  </si>
  <si>
    <t>- Unpaid Leave</t>
  </si>
  <si>
    <t>C</t>
  </si>
  <si>
    <t>- Comp. Off</t>
  </si>
  <si>
    <t>W</t>
  </si>
  <si>
    <t>- Weekend</t>
  </si>
  <si>
    <t>Total</t>
  </si>
  <si>
    <t>Please write the corresponding alphabets (AL for Annual Leave,  S for Sick Leave, C for Comp Off, etc) against the  appropriate date.</t>
  </si>
  <si>
    <t>RECAP</t>
  </si>
  <si>
    <t>Hours</t>
  </si>
  <si>
    <t>Days</t>
  </si>
  <si>
    <t>I CERTIFY THAT THE ABOVE IS  A TRUE RECORD OF MY TIME FOR THIS PERIOD</t>
  </si>
  <si>
    <t>NOTES:</t>
  </si>
  <si>
    <t>FROM</t>
  </si>
  <si>
    <t>TO</t>
  </si>
  <si>
    <t>Employee</t>
  </si>
  <si>
    <t>Supervisor</t>
  </si>
  <si>
    <t>Departemen Head</t>
  </si>
  <si>
    <t>TOTAL</t>
  </si>
  <si>
    <t>Please Email This Form, Duly Signed To:</t>
  </si>
  <si>
    <r>
      <rPr>
        <i/>
        <sz val="8"/>
        <color theme="1"/>
        <rFont val="Arial"/>
        <family val="2"/>
      </rPr>
      <t xml:space="preserve">** Leave application </t>
    </r>
    <r>
      <rPr>
        <i/>
        <u/>
        <sz val="8"/>
        <color theme="1"/>
        <rFont val="Arial"/>
        <family val="2"/>
      </rPr>
      <t>must</t>
    </r>
    <r>
      <rPr>
        <i/>
        <sz val="8"/>
        <color theme="1"/>
        <rFont val="Arial"/>
        <family val="2"/>
      </rPr>
      <t xml:space="preserve"> be faxed with the timesheet!</t>
    </r>
  </si>
  <si>
    <t>Attn: The HR Departement</t>
  </si>
  <si>
    <t>MANDAYS CONSUMPTION REPORT</t>
  </si>
  <si>
    <t>A. Regular</t>
  </si>
  <si>
    <t>No.</t>
  </si>
  <si>
    <t>Description</t>
  </si>
  <si>
    <t>Duration of Work
(Mandays)</t>
  </si>
  <si>
    <t>JIRA's Link</t>
  </si>
  <si>
    <t>CRF/ G-Canvas No.</t>
  </si>
  <si>
    <t>Ket.</t>
  </si>
  <si>
    <t>Total Mandays Reguler</t>
  </si>
  <si>
    <t>B. Overtime</t>
  </si>
  <si>
    <t>Duration of Work
(Hours)</t>
  </si>
  <si>
    <t>Ket./ Nomor Surat  Tugas</t>
  </si>
  <si>
    <t>Total Hours Overtime</t>
  </si>
  <si>
    <t>Total Days Overtime</t>
  </si>
  <si>
    <t>REG</t>
  </si>
  <si>
    <t>MARCH</t>
  </si>
  <si>
    <t>Pooling Core</t>
  </si>
  <si>
    <t/>
  </si>
  <si>
    <t>26/03/2026</t>
  </si>
  <si>
    <t>Create gcanvas mini GM420326040 - Pengembangan Fitur Baru pada menu PASSION untuk Sync Nomor Rekening Emas</t>
  </si>
  <si>
    <t>BATB-28136</t>
  </si>
  <si>
    <t>27/03/2026</t>
  </si>
  <si>
    <t>Diskusi dengan mas andrea terkait project vss MT tring!</t>
  </si>
  <si>
    <t>BATB-28137</t>
  </si>
  <si>
    <t>Update BRD BRD Q2 - Pengembangan menu manajemen disbursal pada aplikasi SPRINT untuk Repush VSS transaksi gadai minta tambah TRING!</t>
  </si>
  <si>
    <t>BATB-28138</t>
  </si>
  <si>
    <t>Meeting Weekly Core</t>
  </si>
  <si>
    <t>BATB-28140</t>
  </si>
  <si>
    <t>30/03/2026</t>
  </si>
  <si>
    <t>Create gcanvas mini  GM420326040 - Pengembangan Fitur Baru pada menu PASSION untuk Sync Nomor Rekening Emas</t>
  </si>
  <si>
    <t>BATB-27430</t>
  </si>
  <si>
    <t>31/03/2026</t>
  </si>
  <si>
    <t>support SIT Penambahan fitur sync rekening pada passion</t>
  </si>
  <si>
    <t>BATB-27515</t>
  </si>
  <si>
    <t>create tiket open koneksi vpn</t>
  </si>
  <si>
    <t>BATB-27516</t>
  </si>
  <si>
    <t>01/04/2026</t>
  </si>
  <si>
    <t>support sit sync rek emas</t>
  </si>
  <si>
    <t>BATB-27585</t>
  </si>
  <si>
    <t>02/04/2026</t>
  </si>
  <si>
    <t>Create mockup untuk BRD VSS MT Tring!</t>
  </si>
  <si>
    <t>BATB-28142</t>
  </si>
  <si>
    <t>BATB-28143</t>
  </si>
  <si>
    <t>BATB-28144</t>
  </si>
  <si>
    <t>06/04/2026</t>
  </si>
  <si>
    <t>Synch Up after Launching Layanan Pegadaian Timor Leste</t>
  </si>
  <si>
    <t>BATB-28145</t>
  </si>
  <si>
    <t>diskusi dengan mas andrea terkait improvement sync norek passion</t>
  </si>
  <si>
    <t>BATB-28146</t>
  </si>
  <si>
    <t>07/04/2026</t>
  </si>
  <si>
    <t>Diskusi penambahan fitur sync rekening emas pada passion</t>
  </si>
  <si>
    <t>BATB-28147</t>
  </si>
  <si>
    <t>Support SIT improvement order cetak</t>
  </si>
  <si>
    <t>BATB-28148</t>
  </si>
  <si>
    <t>08/04/2026</t>
  </si>
  <si>
    <t>UAT GM420226023 - Penggantian Kodefikasi Rekening Stok Emas untuk Transaksi Order Cetak melalui Channel (RestCore)</t>
  </si>
  <si>
    <t>BATB-28149</t>
  </si>
  <si>
    <t>BATB-28150</t>
  </si>
  <si>
    <t>09/04/2026</t>
  </si>
  <si>
    <t>BATB-28152</t>
  </si>
  <si>
    <t>support improvement timorleste</t>
  </si>
  <si>
    <t>BATB-28153</t>
  </si>
  <si>
    <t>10/04/2026</t>
  </si>
  <si>
    <t>[ONLINE]Solution Planning Divisi PASTI</t>
  </si>
  <si>
    <t>BATB-28154</t>
  </si>
  <si>
    <t>Uat improvement PASSION TimLes After Launching Layanan Operasional</t>
  </si>
  <si>
    <t>BATB-28155</t>
  </si>
  <si>
    <t>13/04/2026</t>
  </si>
  <si>
    <t>weekly divisi</t>
  </si>
  <si>
    <t>BATB-28156</t>
  </si>
  <si>
    <t>prepare doc deploy improvement timles</t>
  </si>
  <si>
    <t>BATB-28157</t>
  </si>
  <si>
    <t>14/04/2026</t>
  </si>
  <si>
    <t>UAT -  GM420326040 - Pengembangan Fitur Baru pada menu PASSION untuk Sync Nomor Rekening Emas</t>
  </si>
  <si>
    <t>BATB-28159</t>
  </si>
  <si>
    <t>melengkapi gcanvas mini improvement passion timles</t>
  </si>
  <si>
    <t>BATB-28160</t>
  </si>
  <si>
    <t>15/04/2026</t>
  </si>
  <si>
    <t>Support sit improvement timorleste</t>
  </si>
  <si>
    <t>BATB-28750</t>
  </si>
  <si>
    <t>16/04/2026</t>
  </si>
  <si>
    <t>BATB-28751</t>
  </si>
  <si>
    <t>prepare doc deploy improvement sync norek</t>
  </si>
  <si>
    <t>BATB-28753</t>
  </si>
  <si>
    <t>17/04/2026</t>
  </si>
  <si>
    <t>support analisa requirement project middleware</t>
  </si>
  <si>
    <t>BATB-28755</t>
  </si>
  <si>
    <t>20/04/2026</t>
  </si>
  <si>
    <t>weekly departement</t>
  </si>
  <si>
    <t>BATB-28757</t>
  </si>
  <si>
    <t>create dokumen gcanvas vss mt</t>
  </si>
  <si>
    <t>BATB-28759</t>
  </si>
  <si>
    <t>21/04/2026</t>
  </si>
  <si>
    <t>create gcanvas vss mt</t>
  </si>
  <si>
    <t>BATB-28761</t>
  </si>
  <si>
    <t>22/04/2026</t>
  </si>
  <si>
    <t>BATB-28762</t>
  </si>
  <si>
    <t>23/04/2026</t>
  </si>
  <si>
    <t>[ONLINE] Inception Meeting "Pengembangan Menu Manajemen Disbursal pada Aplikasi SPRINT untuk VSS Transaksi Gadai Minta Tambah TRING!"</t>
  </si>
  <si>
    <t>BATB-28763</t>
  </si>
  <si>
    <t>analisa flow gadai efek</t>
  </si>
  <si>
    <t>BATB-28764</t>
  </si>
  <si>
    <t>24/04/2026</t>
  </si>
  <si>
    <t>BATB-28765</t>
  </si>
  <si>
    <t>Date        25  / 04 / 2026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</si>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</sst>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sz val="19"/>
      <color theme="1"/>
      <name val="Arial"/>
      <family val="2"/>
    </font>
    <font>
      <b/>
      <sz val="15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rgb="FF666666"/>
      <name val="Arial"/>
      <family val="2"/>
    </font>
    <font>
      <i/>
      <u/>
      <sz val="10"/>
      <color theme="1"/>
      <name val="Arial"/>
      <family val="2"/>
    </font>
    <font>
      <i/>
      <sz val="8"/>
      <color theme="1"/>
      <name val="Arial"/>
      <family val="2"/>
    </font>
    <font>
      <b/>
      <sz val="10"/>
      <color rgb="FF000000"/>
      <name val="Arial"/>
      <family val="2"/>
    </font>
    <font>
      <i/>
      <u/>
      <sz val="8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1"/>
      <color rgb="FF0000FF"/>
      <name val="Calibri"/>
      <family val="2"/>
    </font>
    <font>
      <sz val="8"/>
      <color rgb="FF666666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6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0" fillId="3" borderId="1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5" xfId="0" applyFont="1" applyBorder="1"/>
    <xf numFmtId="0" fontId="5" fillId="0" borderId="15" xfId="0" applyFont="1" applyBorder="1" applyAlignment="1">
      <alignment vertical="center"/>
    </xf>
    <xf numFmtId="0" fontId="4" fillId="0" borderId="15" xfId="0" applyFont="1" applyBorder="1" applyAlignment="1">
      <alignment horizontal="center"/>
    </xf>
    <xf numFmtId="0" fontId="11" fillId="0" borderId="0" xfId="0" applyFont="1"/>
    <xf numFmtId="0" fontId="4" fillId="0" borderId="11" xfId="0" applyFont="1" applyBorder="1"/>
    <xf numFmtId="0" fontId="4" fillId="0" borderId="21" xfId="0" applyFont="1" applyBorder="1"/>
    <xf numFmtId="0" fontId="15" fillId="0" borderId="0" xfId="0" applyFont="1"/>
    <xf numFmtId="0" fontId="16" fillId="0" borderId="0" xfId="0" applyFont="1"/>
    <xf numFmtId="0" fontId="10" fillId="0" borderId="0" xfId="0" applyFont="1"/>
    <xf numFmtId="0" fontId="4" fillId="0" borderId="14" xfId="0" applyFont="1" applyBorder="1"/>
    <xf numFmtId="0" fontId="4" fillId="0" borderId="12" xfId="0" applyFont="1" applyBorder="1"/>
    <xf numFmtId="0" fontId="22" fillId="0" borderId="0" xfId="0" applyFont="1"/>
    <xf numFmtId="0" fontId="22" fillId="4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vertical="center"/>
    </xf>
    <xf numFmtId="0" fontId="22" fillId="3" borderId="15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0" fillId="4" borderId="21" xfId="0" applyFont="1" applyFill="1" applyBorder="1" applyAlignment="1">
      <alignment horizontal="center"/>
    </xf>
    <xf numFmtId="0" fontId="17" fillId="4" borderId="11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2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9" fillId="0" borderId="12" xfId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31" xfId="0" applyBorder="1" applyAlignment="1">
      <alignment horizontal="left" vertical="center" wrapText="1"/>
    </xf>
    <xf numFmtId="0" fontId="5" fillId="2" borderId="8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6" fillId="2" borderId="8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0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4" fillId="0" borderId="12" xfId="0" applyFont="1" applyBorder="1" applyAlignment="1">
      <alignment horizontal="center"/>
    </xf>
    <xf numFmtId="0" fontId="12" fillId="0" borderId="16" xfId="0" applyFont="1" applyBorder="1" applyAlignment="1">
      <alignment vertical="top"/>
    </xf>
    <xf numFmtId="0" fontId="3" fillId="0" borderId="17" xfId="0" applyFont="1" applyBorder="1"/>
    <xf numFmtId="0" fontId="3" fillId="0" borderId="19" xfId="0" applyFont="1" applyBorder="1"/>
    <xf numFmtId="0" fontId="0" fillId="0" borderId="0" xfId="0"/>
    <xf numFmtId="0" fontId="3" fillId="0" borderId="22" xfId="0" applyFont="1" applyBorder="1"/>
    <xf numFmtId="0" fontId="3" fillId="0" borderId="11" xfId="0" applyFont="1" applyBorder="1"/>
    <xf numFmtId="0" fontId="5" fillId="0" borderId="12" xfId="0" applyFont="1" applyBorder="1" applyAlignment="1">
      <alignment vertical="center"/>
    </xf>
    <xf numFmtId="0" fontId="4" fillId="5" borderId="1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12" xfId="0" applyFont="1" applyBorder="1" applyAlignment="1">
      <alignment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4" borderId="12" xfId="0" applyFont="1" applyFill="1" applyBorder="1" applyAlignment="1">
      <alignment vertical="center"/>
    </xf>
    <xf numFmtId="0" fontId="10" fillId="4" borderId="12" xfId="0" applyFont="1" applyFill="1" applyBorder="1" applyAlignment="1">
      <alignment horizontal="center"/>
    </xf>
    <xf numFmtId="0" fontId="6" fillId="0" borderId="12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5" fillId="0" borderId="11" xfId="0" applyFont="1" applyBorder="1"/>
    <xf numFmtId="0" fontId="10" fillId="0" borderId="11" xfId="0" applyFont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0" fontId="22" fillId="4" borderId="13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4" fillId="0" borderId="11" xfId="0" applyFont="1" applyBorder="1"/>
    <xf numFmtId="0" fontId="3" fillId="0" borderId="21" xfId="0" applyFont="1" applyBorder="1"/>
    <xf numFmtId="0" fontId="25" fillId="0" borderId="12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4" fillId="4" borderId="12" xfId="0" applyFont="1" applyFill="1" applyBorder="1" applyAlignment="1">
      <alignment vertical="center"/>
    </xf>
    <xf numFmtId="0" fontId="24" fillId="4" borderId="13" xfId="0" applyFont="1" applyFill="1" applyBorder="1" applyAlignment="1">
      <alignment vertical="center"/>
    </xf>
    <xf numFmtId="0" fontId="24" fillId="4" borderId="14" xfId="0" applyFont="1" applyFill="1" applyBorder="1" applyAlignment="1">
      <alignment vertical="center"/>
    </xf>
    <xf numFmtId="0" fontId="17" fillId="4" borderId="13" xfId="0" applyFont="1" applyFill="1" applyBorder="1" applyAlignment="1">
      <alignment horizontal="center"/>
    </xf>
    <xf numFmtId="0" fontId="17" fillId="4" borderId="14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21" xfId="0" applyFont="1" applyFill="1" applyBorder="1" applyAlignment="1">
      <alignment horizontal="center"/>
    </xf>
    <xf numFmtId="0" fontId="22" fillId="6" borderId="12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20" xfId="0" applyFont="1" applyBorder="1"/>
    <xf numFmtId="0" fontId="22" fillId="4" borderId="12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9" fillId="0" borderId="12" xfId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/>
    </xf>
    <xf numFmtId="0" fontId="23" fillId="5" borderId="12" xfId="0" applyFont="1" applyFill="1" applyBorder="1" applyAlignment="1">
      <alignment horizontal="center"/>
    </xf>
    <xf numFmtId="0" fontId="22" fillId="6" borderId="12" xfId="0" applyFont="1" applyFill="1" applyBorder="1" applyAlignment="1">
      <alignment horizontal="center" vertical="center" wrapText="1"/>
    </xf>
    <xf numFmtId="0" fontId="24" fillId="6" borderId="12" xfId="0" applyFont="1" applyFill="1" applyBorder="1" applyAlignment="1">
      <alignment horizontal="center" vertical="center"/>
    </xf>
    <xf numFmtId="0" fontId="24" fillId="6" borderId="13" xfId="0" applyFont="1" applyFill="1" applyBorder="1" applyAlignment="1">
      <alignment horizontal="center" vertical="center"/>
    </xf>
    <xf numFmtId="0" fontId="24" fillId="6" borderId="14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" fillId="0" borderId="22" xfId="0" applyFont="1" applyBorder="1"/>
    <xf numFmtId="0" fontId="4" fillId="0" borderId="21" xfId="0" applyFont="1" applyBorder="1"/>
    <xf numFmtId="0" fontId="2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0" fillId="0" borderId="31" xfId="0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26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4" xfId="0" applyFont="1" applyFill="1" applyBorder="1" applyAlignment="1">
      <alignment horizontal="left" vertical="center" indent="1"/>
    </xf>
    <xf numFmtId="0" fontId="17" fillId="4" borderId="35" xfId="0" applyFont="1" applyFill="1" applyBorder="1" applyAlignment="1">
      <alignment horizontal="left" vertical="center" indent="1"/>
    </xf>
    <xf numFmtId="0" fontId="0" fillId="0" borderId="25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27" fillId="0" borderId="25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10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6" fillId="4" borderId="15" xfId="0" applyFont="1" applyFill="1" applyBorder="1" applyAlignment="1">
      <alignment horizontal="center"/>
    </xf>
    <xf numFmtId="0" fontId="26" fillId="4" borderId="14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476500" cy="676275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228600</xdr:colOff>
      <xdr:row>0</xdr:row>
      <xdr:rowOff>38100</xdr:rowOff>
    </xdr:from>
    <xdr:ext cx="2733675" cy="666750"/>
    <xdr:pic>
      <xdr:nvPicPr>
        <xdr:cNvPr id="3" name="image6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11043</xdr:colOff>
      <xdr:row>28</xdr:row>
      <xdr:rowOff>103671</xdr:rowOff>
    </xdr:from>
    <xdr:ext cx="684143" cy="503721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80000" y="6155497"/>
          <a:ext cx="684143" cy="503721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69850</xdr:colOff>
      <xdr:row>0</xdr:row>
      <xdr:rowOff>12700</xdr:rowOff>
    </xdr:from>
    <xdr:ext cx="2476500" cy="676275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850" y="12700"/>
          <a:ext cx="247650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431800</xdr:colOff>
      <xdr:row>0</xdr:row>
      <xdr:rowOff>0</xdr:rowOff>
    </xdr:from>
    <xdr:ext cx="2733675" cy="666750"/>
    <xdr:pic>
      <xdr:nvPicPr>
        <xdr:cNvPr id="3" name="image6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34800" y="0"/>
          <a:ext cx="27336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171451</xdr:colOff>
      <xdr:row>58</xdr:row>
      <xdr:rowOff>187325</xdr:rowOff>
    </xdr:from>
    <xdr:ext cx="960390" cy="737278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76095" y="12791676"/>
          <a:ext cx="960390" cy="737278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egadaian.atlassian.net/browse/BATB-28146" TargetMode="External"/><Relationship Id="rId18" Type="http://schemas.openxmlformats.org/officeDocument/2006/relationships/hyperlink" Target="https://pegadaian.atlassian.net/browse/BATB-28152" TargetMode="External"/><Relationship Id="rId26" Type="http://schemas.openxmlformats.org/officeDocument/2006/relationships/hyperlink" Target="https://pegadaian.atlassian.net/browse/BATB-28750" TargetMode="External"/><Relationship Id="rId21" Type="http://schemas.openxmlformats.org/officeDocument/2006/relationships/hyperlink" Target="https://pegadaian.atlassian.net/browse/BATB-28155" TargetMode="External"/><Relationship Id="rId34" Type="http://schemas.openxmlformats.org/officeDocument/2006/relationships/hyperlink" Target="https://pegadaian.atlassian.net/browse/BATB-28763" TargetMode="External"/><Relationship Id="rId7" Type="http://schemas.openxmlformats.org/officeDocument/2006/relationships/hyperlink" Target="https://pegadaian.atlassian.net/browse/BATB-27516" TargetMode="External"/><Relationship Id="rId12" Type="http://schemas.openxmlformats.org/officeDocument/2006/relationships/hyperlink" Target="https://pegadaian.atlassian.net/browse/BATB-28145" TargetMode="External"/><Relationship Id="rId17" Type="http://schemas.openxmlformats.org/officeDocument/2006/relationships/hyperlink" Target="https://pegadaian.atlassian.net/browse/BATB-28150" TargetMode="External"/><Relationship Id="rId25" Type="http://schemas.openxmlformats.org/officeDocument/2006/relationships/hyperlink" Target="https://pegadaian.atlassian.net/browse/BATB-28160" TargetMode="External"/><Relationship Id="rId33" Type="http://schemas.openxmlformats.org/officeDocument/2006/relationships/hyperlink" Target="https://pegadaian.atlassian.net/browse/BATB-28762" TargetMode="External"/><Relationship Id="rId38" Type="http://schemas.openxmlformats.org/officeDocument/2006/relationships/drawing" Target="../drawings/drawing2.xml"/><Relationship Id="rId2" Type="http://schemas.openxmlformats.org/officeDocument/2006/relationships/hyperlink" Target="https://pegadaian.atlassian.net/browse/BATB-28137" TargetMode="External"/><Relationship Id="rId16" Type="http://schemas.openxmlformats.org/officeDocument/2006/relationships/hyperlink" Target="https://pegadaian.atlassian.net/browse/BATB-28149" TargetMode="External"/><Relationship Id="rId20" Type="http://schemas.openxmlformats.org/officeDocument/2006/relationships/hyperlink" Target="https://pegadaian.atlassian.net/browse/BATB-28154" TargetMode="External"/><Relationship Id="rId29" Type="http://schemas.openxmlformats.org/officeDocument/2006/relationships/hyperlink" Target="https://pegadaian.atlassian.net/browse/BATB-28755" TargetMode="External"/><Relationship Id="rId1" Type="http://schemas.openxmlformats.org/officeDocument/2006/relationships/hyperlink" Target="https://pegadaian.atlassian.net/browse/BATB-28136" TargetMode="External"/><Relationship Id="rId6" Type="http://schemas.openxmlformats.org/officeDocument/2006/relationships/hyperlink" Target="https://pegadaian.atlassian.net/browse/BATB-27515" TargetMode="External"/><Relationship Id="rId11" Type="http://schemas.openxmlformats.org/officeDocument/2006/relationships/hyperlink" Target="https://pegadaian.atlassian.net/browse/BATB-28144" TargetMode="External"/><Relationship Id="rId24" Type="http://schemas.openxmlformats.org/officeDocument/2006/relationships/hyperlink" Target="https://pegadaian.atlassian.net/browse/BATB-28159" TargetMode="External"/><Relationship Id="rId32" Type="http://schemas.openxmlformats.org/officeDocument/2006/relationships/hyperlink" Target="https://pegadaian.atlassian.net/browse/BATB-28761" TargetMode="External"/><Relationship Id="rId37" Type="http://schemas.openxmlformats.org/officeDocument/2006/relationships/printerSettings" Target="../printerSettings/printerSettings3.bin"/><Relationship Id="rId5" Type="http://schemas.openxmlformats.org/officeDocument/2006/relationships/hyperlink" Target="https://pegadaian.atlassian.net/browse/BATB-27430" TargetMode="External"/><Relationship Id="rId15" Type="http://schemas.openxmlformats.org/officeDocument/2006/relationships/hyperlink" Target="https://pegadaian.atlassian.net/browse/BATB-28148" TargetMode="External"/><Relationship Id="rId23" Type="http://schemas.openxmlformats.org/officeDocument/2006/relationships/hyperlink" Target="https://pegadaian.atlassian.net/browse/BATB-28157" TargetMode="External"/><Relationship Id="rId28" Type="http://schemas.openxmlformats.org/officeDocument/2006/relationships/hyperlink" Target="https://pegadaian.atlassian.net/browse/BATB-28753" TargetMode="External"/><Relationship Id="rId36" Type="http://schemas.openxmlformats.org/officeDocument/2006/relationships/hyperlink" Target="https://pegadaian.atlassian.net/browse/BATB-28765" TargetMode="External"/><Relationship Id="rId10" Type="http://schemas.openxmlformats.org/officeDocument/2006/relationships/hyperlink" Target="https://pegadaian.atlassian.net/browse/BATB-28143" TargetMode="External"/><Relationship Id="rId19" Type="http://schemas.openxmlformats.org/officeDocument/2006/relationships/hyperlink" Target="https://pegadaian.atlassian.net/browse/BATB-28153" TargetMode="External"/><Relationship Id="rId31" Type="http://schemas.openxmlformats.org/officeDocument/2006/relationships/hyperlink" Target="https://pegadaian.atlassian.net/browse/BATB-28759" TargetMode="External"/><Relationship Id="rId4" Type="http://schemas.openxmlformats.org/officeDocument/2006/relationships/hyperlink" Target="https://pegadaian.atlassian.net/browse/BATB-28140" TargetMode="External"/><Relationship Id="rId9" Type="http://schemas.openxmlformats.org/officeDocument/2006/relationships/hyperlink" Target="https://pegadaian.atlassian.net/browse/BATB-28142" TargetMode="External"/><Relationship Id="rId14" Type="http://schemas.openxmlformats.org/officeDocument/2006/relationships/hyperlink" Target="https://pegadaian.atlassian.net/browse/BATB-28147" TargetMode="External"/><Relationship Id="rId22" Type="http://schemas.openxmlformats.org/officeDocument/2006/relationships/hyperlink" Target="https://pegadaian.atlassian.net/browse/BATB-28156" TargetMode="External"/><Relationship Id="rId27" Type="http://schemas.openxmlformats.org/officeDocument/2006/relationships/hyperlink" Target="https://pegadaian.atlassian.net/browse/BATB-28751" TargetMode="External"/><Relationship Id="rId30" Type="http://schemas.openxmlformats.org/officeDocument/2006/relationships/hyperlink" Target="https://pegadaian.atlassian.net/browse/BATB-28757" TargetMode="External"/><Relationship Id="rId35" Type="http://schemas.openxmlformats.org/officeDocument/2006/relationships/hyperlink" Target="https://pegadaian.atlassian.net/browse/BATB-28764" TargetMode="External"/><Relationship Id="rId8" Type="http://schemas.openxmlformats.org/officeDocument/2006/relationships/hyperlink" Target="https://pegadaian.atlassian.net/browse/BATB-27585" TargetMode="External"/><Relationship Id="rId3" Type="http://schemas.openxmlformats.org/officeDocument/2006/relationships/hyperlink" Target="https://pegadaian.atlassian.net/browse/BATB-28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showGridLines="0" zoomScale="138" workbookViewId="0">
      <selection activeCell="J21" sqref="J21"/>
    </sheetView>
  </sheetViews>
  <sheetFormatPr baseColWidth="10" defaultColWidth="12.6640625" defaultRowHeight="15" customHeight="1" x14ac:dyDescent="0.15"/>
  <cols>
    <col min="1" max="1" width="6.33203125" customWidth="1"/>
    <col min="2" max="2" width="3" customWidth="1"/>
    <col min="3" max="3" width="6.33203125" customWidth="1"/>
    <col min="4" max="4" width="11.6640625" customWidth="1"/>
    <col min="5" max="5" width="2.1640625" customWidth="1"/>
    <col min="6" max="14" width="3.6640625" customWidth="1"/>
    <col min="15" max="15" width="13.83203125" customWidth="1"/>
    <col min="16" max="16" width="2.6640625" customWidth="1"/>
  </cols>
  <sheetData>
    <row r="1" spans="1:18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2"/>
    </row>
    <row r="2" spans="1:18" ht="15.75" customHeight="1" x14ac:dyDescent="0.2">
      <c r="A2" s="1"/>
      <c r="B2" s="3"/>
      <c r="C2" s="56" t="s">
        <v>0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  <c r="P2" s="4"/>
      <c r="R2" s="2"/>
    </row>
    <row r="3" spans="1:18" ht="15.75" customHeight="1" x14ac:dyDescent="0.15">
      <c r="A3" s="5"/>
      <c r="B3" s="6"/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1"/>
      <c r="P3" s="4"/>
    </row>
    <row r="4" spans="1:18" ht="15.75" customHeight="1" x14ac:dyDescent="0.15">
      <c r="A4" s="5"/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4"/>
      <c r="O4" s="4"/>
      <c r="P4" s="4"/>
    </row>
    <row r="5" spans="1:18" ht="15.75" customHeight="1" x14ac:dyDescent="0.15">
      <c r="A5" s="5"/>
      <c r="B5" s="6"/>
      <c r="C5" s="6" t="s">
        <v>1</v>
      </c>
      <c r="D5" s="6"/>
      <c r="E5" s="7" t="s">
        <v>2</v>
      </c>
      <c r="F5" s="52" t="s">
        <v>3</v>
      </c>
      <c r="G5" s="53"/>
      <c r="H5" s="53"/>
      <c r="I5" s="53"/>
      <c r="J5" s="53"/>
      <c r="K5" s="53"/>
      <c r="L5" s="53"/>
      <c r="M5" s="54"/>
      <c r="N5" s="4"/>
      <c r="O5" s="4"/>
      <c r="P5" s="4"/>
    </row>
    <row r="6" spans="1:18" ht="21" customHeight="1" x14ac:dyDescent="0.15">
      <c r="A6" s="5"/>
      <c r="B6" s="6"/>
      <c r="C6" s="6" t="s">
        <v>4</v>
      </c>
      <c r="D6" s="6"/>
      <c r="E6" s="7" t="s">
        <v>2</v>
      </c>
      <c r="F6" s="52" t="s">
        <v>5</v>
      </c>
      <c r="G6" s="53"/>
      <c r="H6" s="53"/>
      <c r="I6" s="53"/>
      <c r="J6" s="53"/>
      <c r="K6" s="53"/>
      <c r="L6" s="53"/>
      <c r="M6" s="54"/>
      <c r="N6" s="4"/>
      <c r="O6" s="4"/>
      <c r="P6" s="4"/>
    </row>
    <row r="7" spans="1:18" ht="21" customHeight="1" x14ac:dyDescent="0.15">
      <c r="A7" s="5"/>
      <c r="B7" s="6"/>
      <c r="C7" s="6" t="s">
        <v>6</v>
      </c>
      <c r="D7" s="6"/>
      <c r="E7" s="7" t="s">
        <v>2</v>
      </c>
      <c r="F7" s="52" t="s">
        <v>7</v>
      </c>
      <c r="G7" s="53"/>
      <c r="H7" s="53"/>
      <c r="I7" s="53"/>
      <c r="J7" s="53"/>
      <c r="K7" s="53"/>
      <c r="L7" s="53"/>
      <c r="M7" s="53"/>
      <c r="N7" s="53"/>
      <c r="O7" s="54"/>
      <c r="P7" s="4"/>
    </row>
    <row r="8" spans="1:18" ht="21" customHeight="1" x14ac:dyDescent="0.15">
      <c r="A8" s="5"/>
      <c r="B8" s="6"/>
      <c r="C8" s="6" t="s">
        <v>8</v>
      </c>
      <c r="D8" s="6"/>
      <c r="E8" s="7" t="s">
        <v>2</v>
      </c>
      <c r="F8" s="52" t="s">
        <v>9</v>
      </c>
      <c r="G8" s="53"/>
      <c r="H8" s="53"/>
      <c r="I8" s="53"/>
      <c r="J8" s="53"/>
      <c r="K8" s="53"/>
      <c r="L8" s="53"/>
      <c r="M8" s="53"/>
      <c r="N8" s="53"/>
      <c r="O8" s="54"/>
      <c r="P8" s="4"/>
    </row>
    <row r="9" spans="1:18" ht="21" customHeight="1" x14ac:dyDescent="0.15">
      <c r="A9" s="5"/>
      <c r="B9" s="6"/>
      <c r="C9" s="6" t="s">
        <v>10</v>
      </c>
      <c r="D9" s="6"/>
      <c r="E9" s="7" t="s">
        <v>2</v>
      </c>
      <c r="F9" s="52" t="s">
        <v>11</v>
      </c>
      <c r="G9" s="53"/>
      <c r="H9" s="53"/>
      <c r="I9" s="53"/>
      <c r="J9" s="53"/>
      <c r="K9" s="53"/>
      <c r="L9" s="53"/>
      <c r="M9" s="53"/>
      <c r="N9" s="53"/>
      <c r="O9" s="54"/>
      <c r="P9" s="4"/>
    </row>
    <row r="10" spans="1:18" ht="21" customHeight="1" x14ac:dyDescent="0.15">
      <c r="A10" s="5"/>
      <c r="B10" s="6"/>
      <c r="C10" s="6" t="s">
        <v>12</v>
      </c>
      <c r="D10" s="6"/>
      <c r="E10" s="7" t="s">
        <v>2</v>
      </c>
      <c r="F10" s="52" t="s">
        <v>13</v>
      </c>
      <c r="G10" s="53"/>
      <c r="H10" s="53"/>
      <c r="I10" s="53"/>
      <c r="J10" s="53"/>
      <c r="K10" s="53"/>
      <c r="L10" s="53"/>
      <c r="M10" s="53"/>
      <c r="N10" s="53"/>
      <c r="O10" s="54"/>
      <c r="P10" s="4"/>
    </row>
    <row r="11" spans="1:18" ht="21" customHeight="1" x14ac:dyDescent="0.15">
      <c r="A11" s="5"/>
      <c r="B11" s="6"/>
      <c r="C11" s="6" t="s">
        <v>14</v>
      </c>
      <c r="D11" s="6"/>
      <c r="E11" s="7" t="s">
        <v>2</v>
      </c>
      <c r="F11" s="52" t="s">
        <v>15</v>
      </c>
      <c r="G11" s="53"/>
      <c r="H11" s="53"/>
      <c r="I11" s="53"/>
      <c r="J11" s="53"/>
      <c r="K11" s="53"/>
      <c r="L11" s="53"/>
      <c r="M11" s="53"/>
      <c r="N11" s="53"/>
      <c r="O11" s="54"/>
      <c r="P11" s="4"/>
    </row>
    <row r="12" spans="1:18" ht="21" customHeight="1" x14ac:dyDescent="0.15">
      <c r="A12" s="5"/>
      <c r="B12" s="6"/>
      <c r="C12" s="6" t="s">
        <v>16</v>
      </c>
      <c r="D12" s="6"/>
      <c r="E12" s="7" t="s">
        <v>2</v>
      </c>
      <c r="F12" s="52" t="s">
        <v>71</v>
      </c>
      <c r="G12" s="53"/>
      <c r="H12" s="53"/>
      <c r="I12" s="53"/>
      <c r="J12" s="53"/>
      <c r="K12" s="53"/>
      <c r="L12" s="53"/>
      <c r="M12" s="54"/>
      <c r="N12" s="6"/>
      <c r="O12" s="6"/>
      <c r="P12" s="4"/>
    </row>
    <row r="13" spans="1:18" ht="21" customHeight="1" x14ac:dyDescent="0.15">
      <c r="A13" s="5"/>
      <c r="B13" s="6"/>
      <c r="C13" s="6" t="s">
        <v>17</v>
      </c>
      <c r="D13" s="6"/>
      <c r="E13" s="7" t="s">
        <v>2</v>
      </c>
      <c r="F13" s="55" t="s">
        <v>70</v>
      </c>
      <c r="G13" s="53"/>
      <c r="H13" s="54"/>
      <c r="I13" s="8" t="s">
        <v>18</v>
      </c>
      <c r="J13" s="55" t="s">
        <v>160</v>
      </c>
      <c r="K13" s="53"/>
      <c r="L13" s="53"/>
      <c r="M13" s="54"/>
      <c r="N13" s="6"/>
      <c r="O13" s="6"/>
      <c r="P13" s="4"/>
    </row>
    <row r="14" spans="1:18" ht="21" customHeight="1" x14ac:dyDescent="0.1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6"/>
      <c r="O14" s="6"/>
      <c r="P14" s="4"/>
    </row>
    <row r="15" spans="1:18" ht="15.75" customHeight="1" x14ac:dyDescent="0.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8" ht="15.75" customHeight="1" x14ac:dyDescent="0.1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2:18" ht="15.75" customHeight="1" x14ac:dyDescent="0.1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2:18" ht="15.75" customHeight="1" x14ac:dyDescent="0.1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R18" s="9"/>
    </row>
    <row r="19" spans="2:18" ht="15.75" customHeight="1" x14ac:dyDescent="0.15"/>
    <row r="20" spans="2:18" ht="15.75" customHeight="1" x14ac:dyDescent="0.2">
      <c r="R20" s="2"/>
    </row>
    <row r="21" spans="2:18" ht="15.75" customHeight="1" x14ac:dyDescent="0.15"/>
    <row r="22" spans="2:18" ht="15.75" customHeight="1" x14ac:dyDescent="0.15"/>
    <row r="23" spans="2:18" ht="15.75" customHeight="1" x14ac:dyDescent="0.15"/>
    <row r="24" spans="2:18" ht="15.75" customHeight="1" x14ac:dyDescent="0.15"/>
    <row r="25" spans="2:18" ht="15.75" customHeight="1" x14ac:dyDescent="0.15"/>
    <row r="26" spans="2:18" ht="15.75" customHeight="1" x14ac:dyDescent="0.15"/>
    <row r="27" spans="2:18" ht="15.75" customHeight="1" x14ac:dyDescent="0.15"/>
    <row r="28" spans="2:18" ht="15.75" customHeight="1" x14ac:dyDescent="0.15"/>
    <row r="29" spans="2:18" ht="15.75" customHeight="1" x14ac:dyDescent="0.15"/>
    <row r="30" spans="2:18" ht="15.75" customHeight="1" x14ac:dyDescent="0.15"/>
    <row r="31" spans="2:18" ht="15.75" customHeight="1" x14ac:dyDescent="0.15"/>
    <row r="32" spans="2:1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ustomSheetViews>
    <customSheetView guid="{84170021-B670-446E-8134-AE03FFD6AF7F}" filter="1" showAutoFilter="1">
      <pageMargins left="0.7" right="0.7" top="0.75" bottom="0.75" header="0.3" footer="0.3"/>
      <autoFilter ref="F8:O14" xr:uid="{EC7ADB78-9B94-DE42-888C-736E80ED3EE4}"/>
    </customSheetView>
  </customSheetViews>
  <mergeCells count="11">
    <mergeCell ref="F11:O11"/>
    <mergeCell ref="F12:M12"/>
    <mergeCell ref="F13:H13"/>
    <mergeCell ref="J13:M13"/>
    <mergeCell ref="C2:O3"/>
    <mergeCell ref="F5:M5"/>
    <mergeCell ref="F6:M6"/>
    <mergeCell ref="F7:O7"/>
    <mergeCell ref="F8:O8"/>
    <mergeCell ref="F9:O9"/>
    <mergeCell ref="F10:O10"/>
  </mergeCells>
  <dataValidations count="3">
    <dataValidation type="list" allowBlank="1" sqref="F7" xr:uid="{00000000-0002-0000-0000-000000000000}">
      <formula1>"PT Avows,PT Citta Paramaguna,PT Innovatz Solutions,PT Neekosa,PT Platinumetrix Global Inovasi,PT Pesonna Optima Jasa,PT Radya Digital,PT Nawa Data Solutions"</formula1>
    </dataValidation>
    <dataValidation type="list" allowBlank="1" showErrorMessage="1" sqref="F10" xr:uid="{00000000-0002-0000-0000-000001000000}">
      <formula1>"Heliodorus H. Silalahi,Septian Gama Yudha,Epafras E. Christian,Adi Riswan,Tubagus Danny P.,Sari Nur Sabari,Andhar Setiawan"</formula1>
    </dataValidation>
    <dataValidation type="list" allowBlank="1" showErrorMessage="1" sqref="F9" xr:uid="{00000000-0002-0000-0000-000002000000}">
      <formula1>"Dept. IT Bussines Analyst,Dept. Aplikasi Bisnis,Dept. Aplikasi Bisnis Digital,Dept. Integrasi Aplikasi,Dept. Aplikasi Support,Dept. IT Quality Assurance"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M1000"/>
  <sheetViews>
    <sheetView showGridLines="0" tabSelected="1" zoomScale="66" workbookViewId="0">
      <selection activeCell="L38" sqref="L38"/>
    </sheetView>
  </sheetViews>
  <sheetFormatPr baseColWidth="10" defaultColWidth="12.6640625" defaultRowHeight="15" customHeight="1" x14ac:dyDescent="0.15"/>
  <cols>
    <col min="1" max="2" width="5.1640625" customWidth="1"/>
    <col min="3" max="3" width="5" customWidth="1"/>
    <col min="4" max="41" width="4.6640625" customWidth="1"/>
  </cols>
  <sheetData>
    <row r="1" spans="1:39" ht="15.75" customHeight="1" x14ac:dyDescent="0.15"/>
    <row r="2" spans="1:39" ht="15.75" customHeight="1" x14ac:dyDescent="0.15">
      <c r="A2" s="86" t="s">
        <v>19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</row>
    <row r="3" spans="1:39" ht="15.75" customHeight="1" x14ac:dyDescent="0.15">
      <c r="A3" s="87" t="str">
        <f>DATA!F7</f>
        <v>PT Pesonna Optima Jasa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</row>
    <row r="4" spans="1:39" ht="15.75" customHeight="1" x14ac:dyDescent="0.15"/>
    <row r="5" spans="1:39" ht="15.75" customHeight="1" x14ac:dyDescent="0.15"/>
    <row r="6" spans="1:39" ht="17.25" customHeight="1" x14ac:dyDescent="0.15">
      <c r="A6" s="5" t="s">
        <v>8</v>
      </c>
      <c r="B6" s="5"/>
      <c r="C6" s="5"/>
      <c r="D6" s="10" t="s">
        <v>2</v>
      </c>
      <c r="E6" s="84" t="str">
        <f>DATA!F8</f>
        <v xml:space="preserve">Divisi Pengembangan Aplikasi TI - PT Pegadaian </v>
      </c>
      <c r="F6" s="71"/>
      <c r="G6" s="71"/>
      <c r="H6" s="71"/>
      <c r="I6" s="71"/>
      <c r="J6" s="71"/>
      <c r="K6" s="71"/>
      <c r="L6" s="71"/>
      <c r="M6" s="71"/>
      <c r="N6" s="71"/>
      <c r="W6" s="5"/>
      <c r="X6" s="5" t="s">
        <v>16</v>
      </c>
      <c r="AB6" s="10" t="s">
        <v>2</v>
      </c>
      <c r="AC6" s="84" t="str">
        <f>DATA!F12</f>
        <v>Pooling Core</v>
      </c>
      <c r="AD6" s="71"/>
      <c r="AE6" s="71"/>
      <c r="AF6" s="71"/>
      <c r="AG6" s="71"/>
      <c r="AH6" s="71"/>
      <c r="AI6" s="71"/>
    </row>
    <row r="7" spans="1:39" ht="17.25" customHeight="1" x14ac:dyDescent="0.15">
      <c r="A7" s="5" t="s">
        <v>10</v>
      </c>
      <c r="B7" s="5"/>
      <c r="C7" s="5"/>
      <c r="D7" s="10" t="s">
        <v>2</v>
      </c>
      <c r="E7" s="84" t="str">
        <f>DATA!F9</f>
        <v>Dept. IT Bussines Analyst</v>
      </c>
      <c r="F7" s="71"/>
      <c r="G7" s="71"/>
      <c r="H7" s="71"/>
      <c r="I7" s="71"/>
      <c r="J7" s="71"/>
      <c r="K7" s="71"/>
      <c r="L7" s="71"/>
      <c r="M7" s="71"/>
      <c r="N7" s="71"/>
      <c r="W7" s="5"/>
      <c r="X7" s="5" t="s">
        <v>1</v>
      </c>
      <c r="Y7" s="5"/>
      <c r="Z7" s="5"/>
      <c r="AB7" s="10" t="s">
        <v>2</v>
      </c>
      <c r="AC7" s="84" t="str">
        <f>DATA!F5</f>
        <v>Annas Putra Anuraga</v>
      </c>
      <c r="AD7" s="71"/>
      <c r="AE7" s="71"/>
      <c r="AF7" s="71"/>
      <c r="AG7" s="71"/>
      <c r="AH7" s="71"/>
      <c r="AI7" s="71"/>
    </row>
    <row r="8" spans="1:39" ht="17.25" customHeight="1" x14ac:dyDescent="0.15">
      <c r="A8" s="5" t="s">
        <v>12</v>
      </c>
      <c r="B8" s="5"/>
      <c r="C8" s="5"/>
      <c r="D8" s="10" t="s">
        <v>2</v>
      </c>
      <c r="E8" s="84" t="str">
        <f>DATA!F10</f>
        <v>Andhar Setiawan</v>
      </c>
      <c r="F8" s="71"/>
      <c r="G8" s="71"/>
      <c r="H8" s="71"/>
      <c r="I8" s="71"/>
      <c r="J8" s="71"/>
      <c r="K8" s="71"/>
      <c r="L8" s="71"/>
      <c r="M8" s="71"/>
      <c r="N8" s="71"/>
      <c r="W8" s="5"/>
      <c r="X8" s="5" t="s">
        <v>20</v>
      </c>
      <c r="Y8" s="5"/>
      <c r="Z8" s="5"/>
      <c r="AB8" s="10" t="s">
        <v>2</v>
      </c>
      <c r="AC8" s="84" t="str">
        <f>DATA!F6</f>
        <v>POJ42050260</v>
      </c>
      <c r="AD8" s="71"/>
      <c r="AE8" s="71"/>
      <c r="AF8" s="71"/>
      <c r="AG8" s="71"/>
      <c r="AH8" s="71"/>
      <c r="AI8" s="71"/>
    </row>
    <row r="9" spans="1:39" ht="19.5" customHeight="1" x14ac:dyDescent="0.15">
      <c r="A9" s="5" t="s">
        <v>14</v>
      </c>
      <c r="B9" s="5"/>
      <c r="D9" s="10" t="s">
        <v>2</v>
      </c>
      <c r="E9" s="84" t="str">
        <f>DATA!F11</f>
        <v>Lailatul Fitriana R</v>
      </c>
      <c r="F9" s="71"/>
      <c r="G9" s="71"/>
      <c r="H9" s="71"/>
      <c r="I9" s="71"/>
      <c r="J9" s="71"/>
      <c r="K9" s="71"/>
      <c r="L9" s="71"/>
      <c r="M9" s="71"/>
      <c r="N9" s="71"/>
      <c r="X9" s="5" t="s">
        <v>21</v>
      </c>
      <c r="AB9" s="10" t="s">
        <v>2</v>
      </c>
      <c r="AC9" s="85" t="str">
        <f>DATA!F13</f>
        <v>MARCH</v>
      </c>
      <c r="AD9" s="71"/>
      <c r="AE9" s="71"/>
      <c r="AF9" s="71"/>
      <c r="AG9" s="11" t="s">
        <v>18</v>
      </c>
      <c r="AH9" s="85" t="str">
        <f>DATA!J13</f>
        <v>APRIL</v>
      </c>
      <c r="AI9" s="71"/>
    </row>
    <row r="10" spans="1:39" ht="19.5" customHeight="1" x14ac:dyDescent="0.15">
      <c r="A10" s="5"/>
      <c r="B10" s="5"/>
      <c r="C10" s="5"/>
      <c r="D10" s="5"/>
      <c r="E10" s="5"/>
      <c r="F10" s="5"/>
      <c r="G10" s="5"/>
    </row>
    <row r="11" spans="1:39" ht="19.5" customHeight="1" x14ac:dyDescent="0.15">
      <c r="A11" s="81" t="s">
        <v>22</v>
      </c>
      <c r="B11" s="82"/>
      <c r="C11" s="82"/>
      <c r="D11" s="82"/>
      <c r="E11" s="82"/>
      <c r="F11" s="82"/>
      <c r="G11" s="83"/>
      <c r="H11" s="28">
        <v>26</v>
      </c>
      <c r="I11" s="28">
        <v>27</v>
      </c>
      <c r="J11" s="12">
        <v>28</v>
      </c>
      <c r="K11" s="29">
        <v>29</v>
      </c>
      <c r="L11" s="29">
        <v>30</v>
      </c>
      <c r="M11" s="29">
        <v>31</v>
      </c>
      <c r="N11" s="29">
        <v>1</v>
      </c>
      <c r="O11" s="29">
        <v>2</v>
      </c>
      <c r="P11" s="29">
        <v>3</v>
      </c>
      <c r="Q11" s="29">
        <v>4</v>
      </c>
      <c r="R11" s="29">
        <v>5</v>
      </c>
      <c r="S11" s="29">
        <v>6</v>
      </c>
      <c r="T11" s="29">
        <v>7</v>
      </c>
      <c r="U11" s="29">
        <v>8</v>
      </c>
      <c r="V11" s="29">
        <v>9</v>
      </c>
      <c r="W11" s="29">
        <v>10</v>
      </c>
      <c r="X11" s="29">
        <v>11</v>
      </c>
      <c r="Y11" s="29">
        <v>12</v>
      </c>
      <c r="Z11" s="29">
        <v>13</v>
      </c>
      <c r="AA11" s="29">
        <v>14</v>
      </c>
      <c r="AB11" s="29">
        <v>15</v>
      </c>
      <c r="AC11" s="29">
        <v>16</v>
      </c>
      <c r="AD11" s="29">
        <v>17</v>
      </c>
      <c r="AE11" s="29">
        <v>18</v>
      </c>
      <c r="AF11" s="29">
        <v>19</v>
      </c>
      <c r="AG11" s="29">
        <v>20</v>
      </c>
      <c r="AH11" s="29">
        <v>21</v>
      </c>
      <c r="AI11" s="29">
        <v>22</v>
      </c>
      <c r="AJ11" s="29">
        <v>23</v>
      </c>
      <c r="AK11" s="29">
        <v>24</v>
      </c>
      <c r="AL11" s="29">
        <v>25</v>
      </c>
      <c r="AM11" s="13"/>
    </row>
    <row r="12" spans="1:39" ht="4.5" customHeight="1" x14ac:dyDescent="0.15">
      <c r="A12" s="72"/>
      <c r="B12" s="63"/>
      <c r="C12" s="63"/>
      <c r="D12" s="63"/>
      <c r="E12" s="63"/>
      <c r="F12" s="63"/>
      <c r="G12" s="64"/>
      <c r="H12" s="2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24"/>
      <c r="AJ12" s="14"/>
      <c r="AK12" s="14"/>
      <c r="AL12" s="24"/>
    </row>
    <row r="13" spans="1:39" ht="19.5" customHeight="1" x14ac:dyDescent="0.15">
      <c r="A13" s="15" t="s">
        <v>23</v>
      </c>
      <c r="B13" s="72" t="s">
        <v>24</v>
      </c>
      <c r="C13" s="63"/>
      <c r="D13" s="63"/>
      <c r="E13" s="63"/>
      <c r="F13" s="63"/>
      <c r="G13" s="64"/>
      <c r="H13" s="16">
        <v>8</v>
      </c>
      <c r="I13" s="16">
        <v>8</v>
      </c>
      <c r="J13" s="30" t="s">
        <v>37</v>
      </c>
      <c r="K13" s="31" t="s">
        <v>37</v>
      </c>
      <c r="L13" s="16">
        <v>8</v>
      </c>
      <c r="M13" s="16">
        <v>8</v>
      </c>
      <c r="N13" s="16">
        <v>8</v>
      </c>
      <c r="O13" s="16">
        <v>8</v>
      </c>
      <c r="P13" s="37" t="s">
        <v>27</v>
      </c>
      <c r="Q13" s="30" t="s">
        <v>37</v>
      </c>
      <c r="R13" s="37" t="s">
        <v>27</v>
      </c>
      <c r="S13" s="16">
        <v>8</v>
      </c>
      <c r="T13" s="16">
        <v>8</v>
      </c>
      <c r="U13" s="16">
        <v>8</v>
      </c>
      <c r="V13" s="16">
        <v>8</v>
      </c>
      <c r="W13" s="16">
        <v>8</v>
      </c>
      <c r="X13" s="30" t="s">
        <v>37</v>
      </c>
      <c r="Y13" s="31" t="s">
        <v>37</v>
      </c>
      <c r="Z13" s="16">
        <v>8</v>
      </c>
      <c r="AA13" s="16">
        <v>8</v>
      </c>
      <c r="AB13" s="16">
        <v>8</v>
      </c>
      <c r="AC13" s="16">
        <v>8</v>
      </c>
      <c r="AD13" s="16">
        <v>8</v>
      </c>
      <c r="AE13" s="31" t="s">
        <v>37</v>
      </c>
      <c r="AF13" s="30" t="s">
        <v>37</v>
      </c>
      <c r="AG13" s="16">
        <v>8</v>
      </c>
      <c r="AH13" s="16">
        <v>8</v>
      </c>
      <c r="AI13" s="16">
        <v>8</v>
      </c>
      <c r="AJ13" s="16">
        <v>8</v>
      </c>
      <c r="AK13" s="16">
        <v>8</v>
      </c>
      <c r="AL13" s="30" t="s">
        <v>37</v>
      </c>
    </row>
    <row r="14" spans="1:39" ht="19.5" customHeight="1" x14ac:dyDescent="0.15">
      <c r="A14" s="15" t="s">
        <v>25</v>
      </c>
      <c r="B14" s="72" t="s">
        <v>26</v>
      </c>
      <c r="C14" s="63"/>
      <c r="D14" s="63"/>
      <c r="E14" s="63"/>
      <c r="F14" s="63"/>
      <c r="G14" s="63"/>
      <c r="H14" s="16"/>
      <c r="I14" s="16"/>
      <c r="J14" s="32"/>
      <c r="K14" s="33"/>
      <c r="L14" s="16"/>
      <c r="M14" s="16"/>
      <c r="N14" s="16"/>
      <c r="O14" s="16"/>
      <c r="P14" s="37"/>
      <c r="Q14" s="32"/>
      <c r="R14" s="37"/>
      <c r="S14" s="16"/>
      <c r="T14" s="16"/>
      <c r="U14" s="16"/>
      <c r="V14" s="16"/>
      <c r="W14" s="16"/>
      <c r="X14" s="32"/>
      <c r="Y14" s="33"/>
      <c r="Z14" s="16"/>
      <c r="AA14" s="16"/>
      <c r="AB14" s="16"/>
      <c r="AC14" s="16"/>
      <c r="AD14" s="16"/>
      <c r="AE14" s="33"/>
      <c r="AF14" s="32"/>
      <c r="AG14" s="16"/>
      <c r="AH14" s="16"/>
      <c r="AI14" s="16"/>
      <c r="AJ14" s="16"/>
      <c r="AK14" s="16"/>
      <c r="AL14" s="32"/>
    </row>
    <row r="15" spans="1:39" ht="19.5" customHeight="1" x14ac:dyDescent="0.15">
      <c r="A15" s="72"/>
      <c r="B15" s="63"/>
      <c r="C15" s="63"/>
      <c r="D15" s="63"/>
      <c r="E15" s="63"/>
      <c r="F15" s="63"/>
      <c r="G15" s="63"/>
      <c r="H15" s="16"/>
      <c r="I15" s="16"/>
      <c r="J15" s="32"/>
      <c r="K15" s="33"/>
      <c r="L15" s="16"/>
      <c r="M15" s="16"/>
      <c r="N15" s="16"/>
      <c r="O15" s="16"/>
      <c r="P15" s="37"/>
      <c r="Q15" s="32"/>
      <c r="R15" s="37"/>
      <c r="S15" s="16"/>
      <c r="T15" s="16"/>
      <c r="U15" s="16"/>
      <c r="V15" s="16"/>
      <c r="W15" s="16"/>
      <c r="X15" s="32"/>
      <c r="Y15" s="33"/>
      <c r="Z15" s="16"/>
      <c r="AA15" s="16"/>
      <c r="AB15" s="16"/>
      <c r="AC15" s="16"/>
      <c r="AD15" s="16"/>
      <c r="AE15" s="33"/>
      <c r="AF15" s="32"/>
      <c r="AG15" s="16"/>
      <c r="AH15" s="16"/>
      <c r="AI15" s="16"/>
      <c r="AJ15" s="16"/>
      <c r="AK15" s="16"/>
      <c r="AL15" s="32"/>
    </row>
    <row r="16" spans="1:39" ht="19.5" customHeight="1" x14ac:dyDescent="0.15">
      <c r="A16" s="15" t="s">
        <v>27</v>
      </c>
      <c r="B16" s="72" t="s">
        <v>28</v>
      </c>
      <c r="C16" s="63"/>
      <c r="D16" s="63"/>
      <c r="E16" s="63"/>
      <c r="F16" s="63"/>
      <c r="G16" s="64"/>
      <c r="H16" s="16"/>
      <c r="I16" s="16"/>
      <c r="J16" s="32"/>
      <c r="K16" s="33"/>
      <c r="L16" s="16"/>
      <c r="M16" s="16"/>
      <c r="N16" s="16"/>
      <c r="O16" s="16"/>
      <c r="P16" s="37"/>
      <c r="Q16" s="32"/>
      <c r="R16" s="37"/>
      <c r="S16" s="16"/>
      <c r="T16" s="16"/>
      <c r="U16" s="16"/>
      <c r="V16" s="16"/>
      <c r="W16" s="16"/>
      <c r="X16" s="32"/>
      <c r="Y16" s="33"/>
      <c r="Z16" s="16"/>
      <c r="AA16" s="16"/>
      <c r="AB16" s="16"/>
      <c r="AC16" s="16"/>
      <c r="AD16" s="16"/>
      <c r="AE16" s="33"/>
      <c r="AF16" s="32"/>
      <c r="AG16" s="16"/>
      <c r="AH16" s="16"/>
      <c r="AI16" s="16"/>
      <c r="AJ16" s="16"/>
      <c r="AK16" s="16"/>
      <c r="AL16" s="32"/>
    </row>
    <row r="17" spans="1:38" ht="19.5" customHeight="1" x14ac:dyDescent="0.15">
      <c r="A17" s="15" t="s">
        <v>29</v>
      </c>
      <c r="B17" s="72" t="s">
        <v>30</v>
      </c>
      <c r="C17" s="63"/>
      <c r="D17" s="63"/>
      <c r="E17" s="63"/>
      <c r="F17" s="63"/>
      <c r="G17" s="64"/>
      <c r="H17" s="16"/>
      <c r="I17" s="16"/>
      <c r="J17" s="32"/>
      <c r="K17" s="33"/>
      <c r="L17" s="16"/>
      <c r="M17" s="16"/>
      <c r="N17" s="16"/>
      <c r="O17" s="16"/>
      <c r="P17" s="37"/>
      <c r="Q17" s="32"/>
      <c r="R17" s="37"/>
      <c r="S17" s="16"/>
      <c r="T17" s="16"/>
      <c r="U17" s="16"/>
      <c r="V17" s="16"/>
      <c r="W17" s="16"/>
      <c r="X17" s="32"/>
      <c r="Y17" s="33"/>
      <c r="Z17" s="16"/>
      <c r="AA17" s="16"/>
      <c r="AB17" s="16"/>
      <c r="AC17" s="16"/>
      <c r="AD17" s="16"/>
      <c r="AE17" s="33"/>
      <c r="AF17" s="32"/>
      <c r="AG17" s="16"/>
      <c r="AH17" s="16"/>
      <c r="AI17" s="16"/>
      <c r="AJ17" s="16"/>
      <c r="AK17" s="16"/>
      <c r="AL17" s="32"/>
    </row>
    <row r="18" spans="1:38" ht="19.5" customHeight="1" x14ac:dyDescent="0.15">
      <c r="A18" s="15" t="s">
        <v>31</v>
      </c>
      <c r="B18" s="72" t="s">
        <v>32</v>
      </c>
      <c r="C18" s="63"/>
      <c r="D18" s="63"/>
      <c r="E18" s="63"/>
      <c r="F18" s="63"/>
      <c r="G18" s="64"/>
      <c r="H18" s="16"/>
      <c r="I18" s="16"/>
      <c r="J18" s="32"/>
      <c r="K18" s="33"/>
      <c r="L18" s="16"/>
      <c r="M18" s="16"/>
      <c r="N18" s="16"/>
      <c r="O18" s="16"/>
      <c r="P18" s="37"/>
      <c r="Q18" s="32"/>
      <c r="R18" s="37"/>
      <c r="S18" s="16"/>
      <c r="T18" s="16"/>
      <c r="U18" s="16"/>
      <c r="V18" s="16"/>
      <c r="W18" s="16"/>
      <c r="X18" s="32"/>
      <c r="Y18" s="33"/>
      <c r="Z18" s="16"/>
      <c r="AA18" s="16"/>
      <c r="AB18" s="16"/>
      <c r="AC18" s="16"/>
      <c r="AD18" s="16"/>
      <c r="AE18" s="33"/>
      <c r="AF18" s="32"/>
      <c r="AG18" s="16"/>
      <c r="AH18" s="16"/>
      <c r="AI18" s="16"/>
      <c r="AJ18" s="16"/>
      <c r="AK18" s="16"/>
      <c r="AL18" s="32"/>
    </row>
    <row r="19" spans="1:38" ht="19.5" customHeight="1" x14ac:dyDescent="0.15">
      <c r="A19" s="15" t="s">
        <v>33</v>
      </c>
      <c r="B19" s="72" t="s">
        <v>34</v>
      </c>
      <c r="C19" s="63"/>
      <c r="D19" s="63"/>
      <c r="E19" s="63"/>
      <c r="F19" s="63"/>
      <c r="G19" s="64"/>
      <c r="H19" s="16"/>
      <c r="I19" s="16"/>
      <c r="J19" s="32"/>
      <c r="K19" s="33"/>
      <c r="L19" s="16"/>
      <c r="M19" s="16"/>
      <c r="N19" s="16"/>
      <c r="O19" s="16"/>
      <c r="P19" s="37"/>
      <c r="Q19" s="32"/>
      <c r="R19" s="37"/>
      <c r="S19" s="16"/>
      <c r="T19" s="16"/>
      <c r="U19" s="16"/>
      <c r="V19" s="16"/>
      <c r="W19" s="16"/>
      <c r="X19" s="32"/>
      <c r="Y19" s="33"/>
      <c r="Z19" s="16"/>
      <c r="AA19" s="16"/>
      <c r="AB19" s="16"/>
      <c r="AC19" s="16"/>
      <c r="AD19" s="16"/>
      <c r="AE19" s="33"/>
      <c r="AF19" s="32"/>
      <c r="AG19" s="16"/>
      <c r="AH19" s="16"/>
      <c r="AI19" s="16"/>
      <c r="AJ19" s="16"/>
      <c r="AK19" s="16"/>
      <c r="AL19" s="32"/>
    </row>
    <row r="20" spans="1:38" ht="19.5" customHeight="1" x14ac:dyDescent="0.15">
      <c r="A20" s="15" t="s">
        <v>35</v>
      </c>
      <c r="B20" s="72" t="s">
        <v>36</v>
      </c>
      <c r="C20" s="63"/>
      <c r="D20" s="63"/>
      <c r="E20" s="63"/>
      <c r="F20" s="63"/>
      <c r="G20" s="64"/>
      <c r="H20" s="16"/>
      <c r="I20" s="16"/>
      <c r="J20" s="32"/>
      <c r="K20" s="33"/>
      <c r="L20" s="16"/>
      <c r="M20" s="16"/>
      <c r="N20" s="16"/>
      <c r="O20" s="16"/>
      <c r="P20" s="37"/>
      <c r="Q20" s="32"/>
      <c r="R20" s="37"/>
      <c r="S20" s="16"/>
      <c r="T20" s="16"/>
      <c r="U20" s="16"/>
      <c r="V20" s="16"/>
      <c r="W20" s="16"/>
      <c r="X20" s="32"/>
      <c r="Y20" s="33"/>
      <c r="Z20" s="16"/>
      <c r="AA20" s="16"/>
      <c r="AB20" s="16"/>
      <c r="AC20" s="16"/>
      <c r="AD20" s="16"/>
      <c r="AE20" s="33"/>
      <c r="AF20" s="32"/>
      <c r="AG20" s="16"/>
      <c r="AH20" s="16"/>
      <c r="AI20" s="16"/>
      <c r="AJ20" s="16"/>
      <c r="AK20" s="16"/>
      <c r="AL20" s="32"/>
    </row>
    <row r="21" spans="1:38" ht="19.5" customHeight="1" x14ac:dyDescent="0.15">
      <c r="A21" s="15" t="s">
        <v>37</v>
      </c>
      <c r="B21" s="72" t="s">
        <v>38</v>
      </c>
      <c r="C21" s="63"/>
      <c r="D21" s="63"/>
      <c r="E21" s="63"/>
      <c r="F21" s="63"/>
      <c r="G21" s="64"/>
      <c r="H21" s="16"/>
      <c r="I21" s="16"/>
      <c r="J21" s="32"/>
      <c r="K21" s="33"/>
      <c r="L21" s="16"/>
      <c r="M21" s="16"/>
      <c r="N21" s="16"/>
      <c r="O21" s="16"/>
      <c r="P21" s="37"/>
      <c r="Q21" s="32"/>
      <c r="R21" s="37"/>
      <c r="S21" s="16"/>
      <c r="T21" s="16"/>
      <c r="U21" s="16"/>
      <c r="V21" s="16"/>
      <c r="W21" s="16"/>
      <c r="X21" s="32"/>
      <c r="Y21" s="33"/>
      <c r="Z21" s="16"/>
      <c r="AA21" s="16"/>
      <c r="AB21" s="16"/>
      <c r="AC21" s="16"/>
      <c r="AD21" s="16"/>
      <c r="AE21" s="33"/>
      <c r="AF21" s="32"/>
      <c r="AG21" s="16"/>
      <c r="AH21" s="16"/>
      <c r="AI21" s="16"/>
      <c r="AJ21" s="16"/>
      <c r="AK21" s="16"/>
      <c r="AL21" s="32"/>
    </row>
    <row r="22" spans="1:38" ht="19.5" customHeight="1" x14ac:dyDescent="0.15">
      <c r="A22" s="15"/>
      <c r="B22" s="72"/>
      <c r="C22" s="63"/>
      <c r="D22" s="63"/>
      <c r="E22" s="63"/>
      <c r="F22" s="63"/>
      <c r="G22" s="64"/>
      <c r="H22" s="16"/>
      <c r="I22" s="16"/>
      <c r="J22" s="32"/>
      <c r="K22" s="33"/>
      <c r="L22" s="16"/>
      <c r="M22" s="16"/>
      <c r="N22" s="16"/>
      <c r="O22" s="16"/>
      <c r="P22" s="37"/>
      <c r="Q22" s="32"/>
      <c r="R22" s="37"/>
      <c r="S22" s="16"/>
      <c r="T22" s="16"/>
      <c r="U22" s="16"/>
      <c r="V22" s="16"/>
      <c r="W22" s="16"/>
      <c r="X22" s="32"/>
      <c r="Y22" s="33"/>
      <c r="Z22" s="16"/>
      <c r="AA22" s="16"/>
      <c r="AB22" s="16"/>
      <c r="AC22" s="16"/>
      <c r="AD22" s="16"/>
      <c r="AE22" s="33"/>
      <c r="AF22" s="32"/>
      <c r="AG22" s="16"/>
      <c r="AH22" s="16"/>
      <c r="AI22" s="16"/>
      <c r="AJ22" s="16"/>
      <c r="AK22" s="16"/>
      <c r="AL22" s="32"/>
    </row>
    <row r="23" spans="1:38" ht="19.5" customHeight="1" x14ac:dyDescent="0.15">
      <c r="A23" s="80" t="s">
        <v>39</v>
      </c>
      <c r="B23" s="63"/>
      <c r="C23" s="63"/>
      <c r="D23" s="63"/>
      <c r="E23" s="63"/>
      <c r="F23" s="63"/>
      <c r="G23" s="64"/>
      <c r="H23" s="38">
        <v>8</v>
      </c>
      <c r="I23" s="38">
        <v>8</v>
      </c>
      <c r="J23" s="161" t="s">
        <v>37</v>
      </c>
      <c r="K23" s="162" t="s">
        <v>37</v>
      </c>
      <c r="L23" s="38">
        <v>8</v>
      </c>
      <c r="M23" s="38">
        <v>8</v>
      </c>
      <c r="N23" s="38">
        <v>8</v>
      </c>
      <c r="O23" s="38">
        <v>8</v>
      </c>
      <c r="P23" s="163" t="s">
        <v>27</v>
      </c>
      <c r="Q23" s="161" t="s">
        <v>37</v>
      </c>
      <c r="R23" s="163" t="s">
        <v>27</v>
      </c>
      <c r="S23" s="38">
        <v>8</v>
      </c>
      <c r="T23" s="38">
        <v>8</v>
      </c>
      <c r="U23" s="38">
        <v>8</v>
      </c>
      <c r="V23" s="38">
        <v>8</v>
      </c>
      <c r="W23" s="38">
        <v>8</v>
      </c>
      <c r="X23" s="161" t="s">
        <v>37</v>
      </c>
      <c r="Y23" s="162" t="s">
        <v>37</v>
      </c>
      <c r="Z23" s="38">
        <v>8</v>
      </c>
      <c r="AA23" s="38">
        <v>8</v>
      </c>
      <c r="AB23" s="38">
        <v>8</v>
      </c>
      <c r="AC23" s="38">
        <v>8</v>
      </c>
      <c r="AD23" s="38">
        <v>8</v>
      </c>
      <c r="AE23" s="162" t="s">
        <v>37</v>
      </c>
      <c r="AF23" s="161" t="s">
        <v>37</v>
      </c>
      <c r="AG23" s="38">
        <v>8</v>
      </c>
      <c r="AH23" s="38">
        <v>8</v>
      </c>
      <c r="AI23" s="38">
        <v>8</v>
      </c>
      <c r="AJ23" s="38">
        <v>8</v>
      </c>
      <c r="AK23" s="38">
        <v>8</v>
      </c>
      <c r="AL23" s="161" t="s">
        <v>37</v>
      </c>
    </row>
    <row r="24" spans="1:38" ht="19.5" customHeight="1" x14ac:dyDescent="0.15">
      <c r="A24" s="75" t="s">
        <v>40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spans="1:38" ht="15.75" customHeight="1" x14ac:dyDescent="0.15">
      <c r="N25" s="17"/>
      <c r="O25" s="17"/>
      <c r="P25" s="17"/>
      <c r="Q25" s="17"/>
      <c r="R25" s="17"/>
      <c r="S25" s="17"/>
      <c r="T25" s="17"/>
    </row>
    <row r="26" spans="1:38" ht="15.75" customHeight="1" x14ac:dyDescent="0.15">
      <c r="A26" s="78" t="s">
        <v>41</v>
      </c>
      <c r="B26" s="63"/>
      <c r="C26" s="63"/>
      <c r="D26" s="63"/>
      <c r="E26" s="63"/>
      <c r="F26" s="63"/>
      <c r="G26" s="64"/>
      <c r="H26" s="79" t="s">
        <v>42</v>
      </c>
      <c r="I26" s="64"/>
      <c r="J26" s="79" t="s">
        <v>43</v>
      </c>
      <c r="K26" s="64"/>
      <c r="M26" s="17" t="s">
        <v>44</v>
      </c>
      <c r="N26" s="17"/>
      <c r="O26" s="17"/>
      <c r="P26" s="17"/>
      <c r="Q26" s="17"/>
      <c r="R26" s="17"/>
      <c r="S26" s="17"/>
      <c r="T26" s="17"/>
      <c r="AE26" s="66" t="s">
        <v>45</v>
      </c>
      <c r="AF26" s="67"/>
      <c r="AG26" s="67"/>
      <c r="AH26" s="67"/>
      <c r="AI26" s="67"/>
    </row>
    <row r="27" spans="1:38" ht="15.75" customHeight="1" x14ac:dyDescent="0.15">
      <c r="A27" s="15" t="s">
        <v>23</v>
      </c>
      <c r="B27" s="72" t="s">
        <v>24</v>
      </c>
      <c r="C27" s="63"/>
      <c r="D27" s="63"/>
      <c r="E27" s="63"/>
      <c r="F27" s="63"/>
      <c r="G27" s="64"/>
      <c r="H27" s="65">
        <f>SUM(H13:AL13)</f>
        <v>168</v>
      </c>
      <c r="I27" s="64"/>
      <c r="J27" s="73">
        <f t="shared" ref="J27" si="0">H27/8</f>
        <v>21</v>
      </c>
      <c r="K27" s="64"/>
      <c r="M27" s="17" t="s">
        <v>46</v>
      </c>
      <c r="N27" s="76" t="str">
        <f>AC9</f>
        <v>MARCH</v>
      </c>
      <c r="O27" s="69"/>
      <c r="P27" s="17" t="s">
        <v>47</v>
      </c>
      <c r="Q27" s="76" t="str">
        <f>AH9</f>
        <v>APRIL</v>
      </c>
      <c r="R27" s="69"/>
      <c r="AE27" s="68"/>
      <c r="AF27" s="69"/>
      <c r="AG27" s="69"/>
      <c r="AH27" s="69"/>
      <c r="AI27" s="69"/>
    </row>
    <row r="28" spans="1:38" ht="15.75" customHeight="1" x14ac:dyDescent="0.15">
      <c r="A28" s="15" t="s">
        <v>25</v>
      </c>
      <c r="B28" s="72" t="s">
        <v>26</v>
      </c>
      <c r="C28" s="63"/>
      <c r="D28" s="63"/>
      <c r="E28" s="63"/>
      <c r="F28" s="63"/>
      <c r="G28" s="64"/>
      <c r="H28" s="73">
        <f>SUM(H14:AL14)</f>
        <v>0</v>
      </c>
      <c r="I28" s="64"/>
      <c r="J28" s="73">
        <f>H28/8</f>
        <v>0</v>
      </c>
      <c r="K28" s="64"/>
      <c r="M28" s="74" t="s">
        <v>48</v>
      </c>
      <c r="N28" s="69"/>
      <c r="O28" s="69"/>
      <c r="P28" s="69"/>
      <c r="Q28" s="69"/>
      <c r="R28" s="69"/>
      <c r="S28" s="74" t="s">
        <v>49</v>
      </c>
      <c r="T28" s="69"/>
      <c r="U28" s="69"/>
      <c r="V28" s="69"/>
      <c r="W28" s="69"/>
      <c r="X28" s="69"/>
      <c r="Y28" s="74" t="s">
        <v>50</v>
      </c>
      <c r="Z28" s="69"/>
      <c r="AA28" s="69"/>
      <c r="AB28" s="69"/>
      <c r="AC28" s="69"/>
      <c r="AD28" s="69"/>
      <c r="AE28" s="68"/>
      <c r="AF28" s="69"/>
      <c r="AG28" s="69"/>
      <c r="AH28" s="69"/>
      <c r="AI28" s="69"/>
    </row>
    <row r="29" spans="1:38" ht="15.75" customHeight="1" x14ac:dyDescent="0.15">
      <c r="A29" s="15" t="s">
        <v>27</v>
      </c>
      <c r="B29" s="72" t="s">
        <v>28</v>
      </c>
      <c r="C29" s="63"/>
      <c r="D29" s="63"/>
      <c r="E29" s="63"/>
      <c r="F29" s="63"/>
      <c r="G29" s="64"/>
      <c r="H29" s="73">
        <f>COUNTIF($H$16:$AL$16,"H")</f>
        <v>0</v>
      </c>
      <c r="I29" s="64"/>
      <c r="J29" s="73">
        <f>COUNTIF($H$16:$AI$16,"H")</f>
        <v>0</v>
      </c>
      <c r="K29" s="64"/>
      <c r="AE29" s="68"/>
      <c r="AF29" s="69"/>
      <c r="AG29" s="69"/>
      <c r="AH29" s="69"/>
      <c r="AI29" s="69"/>
    </row>
    <row r="30" spans="1:38" ht="15.75" customHeight="1" x14ac:dyDescent="0.15">
      <c r="A30" s="15" t="s">
        <v>29</v>
      </c>
      <c r="B30" s="72" t="s">
        <v>30</v>
      </c>
      <c r="C30" s="63"/>
      <c r="D30" s="63"/>
      <c r="E30" s="63"/>
      <c r="F30" s="63"/>
      <c r="G30" s="64"/>
      <c r="H30" s="73">
        <f>COUNTIF($H$17:$AL$17,"AL")</f>
        <v>0</v>
      </c>
      <c r="I30" s="64"/>
      <c r="J30" s="73">
        <f>COUNTIF($L$17:$AI$17,"AL")</f>
        <v>0</v>
      </c>
      <c r="K30" s="64"/>
      <c r="AE30" s="68"/>
      <c r="AF30" s="69"/>
      <c r="AG30" s="69"/>
      <c r="AH30" s="69"/>
      <c r="AI30" s="69"/>
    </row>
    <row r="31" spans="1:38" ht="15.75" customHeight="1" x14ac:dyDescent="0.15">
      <c r="A31" s="15" t="s">
        <v>31</v>
      </c>
      <c r="B31" s="72" t="s">
        <v>32</v>
      </c>
      <c r="C31" s="63"/>
      <c r="D31" s="63"/>
      <c r="E31" s="63"/>
      <c r="F31" s="63"/>
      <c r="G31" s="64"/>
      <c r="H31" s="73">
        <f>COUNTIF($H$18:$AG$18,"SL")</f>
        <v>0</v>
      </c>
      <c r="I31" s="64"/>
      <c r="J31" s="73">
        <f>COUNTIF($H$18:$AG$18,"SL")</f>
        <v>0</v>
      </c>
      <c r="K31" s="64"/>
      <c r="AE31" s="68"/>
      <c r="AF31" s="69"/>
      <c r="AG31" s="69"/>
      <c r="AH31" s="69"/>
      <c r="AI31" s="69"/>
    </row>
    <row r="32" spans="1:38" ht="15.75" customHeight="1" x14ac:dyDescent="0.15">
      <c r="A32" s="15" t="s">
        <v>33</v>
      </c>
      <c r="B32" s="72" t="s">
        <v>34</v>
      </c>
      <c r="C32" s="63"/>
      <c r="D32" s="63"/>
      <c r="E32" s="63"/>
      <c r="F32" s="63"/>
      <c r="G32" s="64"/>
      <c r="H32" s="73">
        <f>COUNTIF($L$19:$AG$19,"U")</f>
        <v>0</v>
      </c>
      <c r="I32" s="64"/>
      <c r="J32" s="73">
        <f>COUNTIF($L$19:$AG$19,"U")</f>
        <v>0</v>
      </c>
      <c r="K32" s="64"/>
      <c r="M32" s="18"/>
      <c r="N32" s="18"/>
      <c r="O32" s="18"/>
      <c r="P32" s="18"/>
      <c r="Q32" s="18"/>
      <c r="R32" s="19"/>
      <c r="S32" s="18"/>
      <c r="T32" s="18"/>
      <c r="U32" s="18"/>
      <c r="V32" s="18"/>
      <c r="W32" s="18"/>
      <c r="X32" s="19"/>
      <c r="Y32" s="18"/>
      <c r="Z32" s="18"/>
      <c r="AA32" s="18"/>
      <c r="AB32" s="18"/>
      <c r="AC32" s="18"/>
      <c r="AD32" s="18"/>
      <c r="AE32" s="68"/>
      <c r="AF32" s="69"/>
      <c r="AG32" s="69"/>
      <c r="AH32" s="69"/>
      <c r="AI32" s="69"/>
    </row>
    <row r="33" spans="1:35" ht="15.75" customHeight="1" x14ac:dyDescent="0.15">
      <c r="A33" s="15" t="s">
        <v>35</v>
      </c>
      <c r="B33" s="72" t="s">
        <v>36</v>
      </c>
      <c r="C33" s="63"/>
      <c r="D33" s="63"/>
      <c r="E33" s="63"/>
      <c r="F33" s="63"/>
      <c r="G33" s="64"/>
      <c r="H33" s="73">
        <f>COUNTIF($L$20:$AG$20,"C")</f>
        <v>0</v>
      </c>
      <c r="I33" s="64"/>
      <c r="J33" s="73">
        <f>COUNTIF($L$20:$AG$20,"C")</f>
        <v>0</v>
      </c>
      <c r="K33" s="64"/>
      <c r="M33" s="74" t="str">
        <f>AC7</f>
        <v>Annas Putra Anuraga</v>
      </c>
      <c r="N33" s="69"/>
      <c r="O33" s="69"/>
      <c r="P33" s="69"/>
      <c r="Q33" s="69"/>
      <c r="R33" s="69"/>
      <c r="S33" s="74" t="str">
        <f>E9</f>
        <v>Lailatul Fitriana R</v>
      </c>
      <c r="T33" s="69"/>
      <c r="U33" s="69"/>
      <c r="V33" s="69"/>
      <c r="W33" s="69"/>
      <c r="X33" s="69"/>
      <c r="Y33" s="74" t="str">
        <f>E8</f>
        <v>Andhar Setiawan</v>
      </c>
      <c r="Z33" s="69"/>
      <c r="AA33" s="69"/>
      <c r="AB33" s="69"/>
      <c r="AC33" s="69"/>
      <c r="AD33" s="69"/>
      <c r="AE33" s="68"/>
      <c r="AF33" s="69"/>
      <c r="AG33" s="69"/>
      <c r="AH33" s="69"/>
      <c r="AI33" s="69"/>
    </row>
    <row r="34" spans="1:35" ht="15.75" customHeight="1" x14ac:dyDescent="0.15">
      <c r="A34" s="62" t="s">
        <v>51</v>
      </c>
      <c r="B34" s="63"/>
      <c r="C34" s="63"/>
      <c r="D34" s="63"/>
      <c r="E34" s="63"/>
      <c r="F34" s="63"/>
      <c r="G34" s="64"/>
      <c r="H34" s="65">
        <f>SUM(H27:I28)</f>
        <v>168</v>
      </c>
      <c r="I34" s="64"/>
      <c r="J34" s="73">
        <f>SUM(J27:K28)</f>
        <v>21</v>
      </c>
      <c r="K34" s="64"/>
      <c r="M34" s="158" t="s">
        <v>159</v>
      </c>
      <c r="N34" s="158"/>
      <c r="O34" s="158"/>
      <c r="P34" s="158"/>
      <c r="Q34" s="158"/>
      <c r="R34" s="158"/>
      <c r="S34" s="158" t="s">
        <v>159</v>
      </c>
      <c r="T34" s="158"/>
      <c r="U34" s="158"/>
      <c r="V34" s="158"/>
      <c r="W34" s="158"/>
      <c r="X34" s="158"/>
      <c r="Y34" s="159" t="s">
        <v>159</v>
      </c>
      <c r="Z34" s="159"/>
      <c r="AA34" s="159"/>
      <c r="AB34" s="159"/>
      <c r="AC34" s="159"/>
      <c r="AD34" s="160"/>
      <c r="AE34" s="70"/>
      <c r="AF34" s="71"/>
      <c r="AG34" s="71"/>
      <c r="AH34" s="71"/>
      <c r="AI34" s="71"/>
    </row>
    <row r="35" spans="1:35" ht="15.75" customHeight="1" x14ac:dyDescent="0.15"/>
    <row r="36" spans="1:35" ht="15.75" customHeight="1" x14ac:dyDescent="0.15">
      <c r="A36" s="20" t="s">
        <v>52</v>
      </c>
      <c r="AE36" s="21" t="s">
        <v>53</v>
      </c>
    </row>
    <row r="37" spans="1:35" ht="15.75" customHeight="1" x14ac:dyDescent="0.15">
      <c r="A37" s="20" t="s">
        <v>54</v>
      </c>
    </row>
    <row r="38" spans="1:35" ht="15.75" customHeight="1" x14ac:dyDescent="0.15"/>
    <row r="39" spans="1:35" ht="15.75" customHeight="1" x14ac:dyDescent="0.15"/>
    <row r="40" spans="1:35" ht="15.75" customHeight="1" x14ac:dyDescent="0.15"/>
    <row r="41" spans="1:35" ht="15.75" customHeight="1" x14ac:dyDescent="0.15"/>
    <row r="42" spans="1:35" ht="15.75" customHeight="1" x14ac:dyDescent="0.15"/>
    <row r="43" spans="1:35" ht="15.75" customHeight="1" x14ac:dyDescent="0.15"/>
    <row r="44" spans="1:35" ht="15.75" customHeight="1" x14ac:dyDescent="0.15"/>
    <row r="45" spans="1:35" ht="15.75" customHeight="1" x14ac:dyDescent="0.15"/>
    <row r="46" spans="1:35" ht="15.75" customHeight="1" x14ac:dyDescent="0.15"/>
    <row r="47" spans="1:35" ht="15.75" customHeight="1" x14ac:dyDescent="0.15"/>
    <row r="48" spans="1:35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4">
    <mergeCell ref="A2:AI2"/>
    <mergeCell ref="A3:AI3"/>
    <mergeCell ref="E6:N6"/>
    <mergeCell ref="AC6:AI6"/>
    <mergeCell ref="E7:N7"/>
    <mergeCell ref="AC7:AI7"/>
    <mergeCell ref="AC8:AI8"/>
    <mergeCell ref="E8:N8"/>
    <mergeCell ref="E9:N9"/>
    <mergeCell ref="AC9:AF9"/>
    <mergeCell ref="AH9:AI9"/>
    <mergeCell ref="A11:G11"/>
    <mergeCell ref="A12:G12"/>
    <mergeCell ref="B13:G13"/>
    <mergeCell ref="B21:G21"/>
    <mergeCell ref="B22:G22"/>
    <mergeCell ref="A23:G23"/>
    <mergeCell ref="B14:G14"/>
    <mergeCell ref="A15:G15"/>
    <mergeCell ref="B16:G16"/>
    <mergeCell ref="B17:G17"/>
    <mergeCell ref="B18:G18"/>
    <mergeCell ref="B19:G19"/>
    <mergeCell ref="B20:G20"/>
    <mergeCell ref="A24:AI24"/>
    <mergeCell ref="J34:K34"/>
    <mergeCell ref="N27:O27"/>
    <mergeCell ref="Q27:R27"/>
    <mergeCell ref="B28:G28"/>
    <mergeCell ref="H28:I28"/>
    <mergeCell ref="J28:K28"/>
    <mergeCell ref="M28:R28"/>
    <mergeCell ref="M34:R34"/>
    <mergeCell ref="S34:X34"/>
    <mergeCell ref="Y34:AD34"/>
    <mergeCell ref="A26:G26"/>
    <mergeCell ref="H26:I26"/>
    <mergeCell ref="J26:K26"/>
    <mergeCell ref="J33:K33"/>
    <mergeCell ref="M33:R33"/>
    <mergeCell ref="S33:X33"/>
    <mergeCell ref="Y33:AD33"/>
    <mergeCell ref="J31:K31"/>
    <mergeCell ref="B32:G32"/>
    <mergeCell ref="H32:I32"/>
    <mergeCell ref="J32:K32"/>
    <mergeCell ref="B33:G33"/>
    <mergeCell ref="H33:I33"/>
    <mergeCell ref="A34:G34"/>
    <mergeCell ref="H34:I34"/>
    <mergeCell ref="AE26:AI34"/>
    <mergeCell ref="B27:G27"/>
    <mergeCell ref="H27:I27"/>
    <mergeCell ref="J27:K27"/>
    <mergeCell ref="S28:X28"/>
    <mergeCell ref="Y28:AD28"/>
    <mergeCell ref="B29:G29"/>
    <mergeCell ref="H29:I29"/>
    <mergeCell ref="J29:K29"/>
    <mergeCell ref="B30:G30"/>
    <mergeCell ref="H30:I30"/>
    <mergeCell ref="J30:K30"/>
    <mergeCell ref="B31:G31"/>
    <mergeCell ref="H31:I31"/>
  </mergeCells>
  <pageMargins left="1.6" right="1" top="1.5" bottom="1" header="0.5" footer="0.5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V923"/>
  <sheetViews>
    <sheetView showGridLines="0" topLeftCell="A5" zoomScale="93" zoomScaleNormal="50" workbookViewId="0">
      <selection activeCell="Y65" sqref="Y65:AD65"/>
    </sheetView>
  </sheetViews>
  <sheetFormatPr baseColWidth="10" defaultColWidth="12.6640625" defaultRowHeight="15" customHeight="1" x14ac:dyDescent="0.15"/>
  <cols>
    <col min="1" max="2" width="5.1640625" customWidth="1"/>
    <col min="3" max="3" width="12" customWidth="1"/>
    <col min="4" max="30" width="4.6640625" customWidth="1"/>
    <col min="31" max="31" width="10.6640625" customWidth="1"/>
    <col min="32" max="38" width="4.6640625" customWidth="1"/>
  </cols>
  <sheetData>
    <row r="1" spans="1:47" ht="15.75" customHeight="1" x14ac:dyDescent="0.15"/>
    <row r="2" spans="1:47" ht="15.75" customHeight="1" x14ac:dyDescent="0.15">
      <c r="A2" s="86" t="s">
        <v>55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</row>
    <row r="3" spans="1:47" ht="15.75" customHeight="1" x14ac:dyDescent="0.15">
      <c r="A3" s="87" t="str">
        <f>DATA!F7</f>
        <v>PT Pesonna Optima Jasa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</row>
    <row r="4" spans="1:47" ht="15.75" customHeight="1" x14ac:dyDescent="0.15"/>
    <row r="5" spans="1:47" ht="15.75" customHeight="1" x14ac:dyDescent="0.15"/>
    <row r="6" spans="1:47" ht="15.75" customHeight="1" x14ac:dyDescent="0.15">
      <c r="A6" s="5" t="s">
        <v>8</v>
      </c>
      <c r="B6" s="5"/>
      <c r="C6" s="5"/>
      <c r="D6" s="10" t="s">
        <v>2</v>
      </c>
      <c r="E6" s="84" t="str">
        <f>DATA!F8</f>
        <v xml:space="preserve">Divisi Pengembangan Aplikasi TI - PT Pegadaian </v>
      </c>
      <c r="F6" s="71"/>
      <c r="G6" s="71"/>
      <c r="H6" s="71"/>
      <c r="I6" s="71"/>
      <c r="J6" s="71"/>
      <c r="K6" s="71"/>
      <c r="L6" s="71"/>
      <c r="M6" s="71"/>
      <c r="N6" s="71"/>
      <c r="X6" s="5"/>
      <c r="Y6" s="5"/>
      <c r="AA6" s="5" t="s">
        <v>16</v>
      </c>
      <c r="AD6" s="10" t="s">
        <v>2</v>
      </c>
      <c r="AE6" s="84" t="str">
        <f>DATA!F12</f>
        <v>Pooling Core</v>
      </c>
      <c r="AF6" s="71"/>
      <c r="AG6" s="71"/>
      <c r="AH6" s="71"/>
      <c r="AI6" s="71"/>
      <c r="AJ6" s="71"/>
      <c r="AK6" s="71"/>
      <c r="AL6" s="71"/>
    </row>
    <row r="7" spans="1:47" ht="15.75" customHeight="1" x14ac:dyDescent="0.15">
      <c r="A7" s="5" t="s">
        <v>10</v>
      </c>
      <c r="B7" s="5"/>
      <c r="C7" s="5"/>
      <c r="D7" s="10" t="s">
        <v>2</v>
      </c>
      <c r="E7" s="84" t="str">
        <f>DATA!F9</f>
        <v>Dept. IT Bussines Analyst</v>
      </c>
      <c r="F7" s="71"/>
      <c r="G7" s="71"/>
      <c r="H7" s="71"/>
      <c r="I7" s="71"/>
      <c r="J7" s="71"/>
      <c r="K7" s="71"/>
      <c r="L7" s="71"/>
      <c r="M7" s="71"/>
      <c r="N7" s="71"/>
      <c r="X7" s="5"/>
      <c r="Y7" s="5"/>
      <c r="AA7" s="5" t="s">
        <v>1</v>
      </c>
      <c r="AD7" s="10" t="s">
        <v>2</v>
      </c>
      <c r="AE7" s="84" t="str">
        <f>DATA!F5</f>
        <v>Annas Putra Anuraga</v>
      </c>
      <c r="AF7" s="71"/>
      <c r="AG7" s="71"/>
      <c r="AH7" s="71"/>
      <c r="AI7" s="71"/>
      <c r="AJ7" s="71"/>
      <c r="AK7" s="71"/>
      <c r="AL7" s="71"/>
    </row>
    <row r="8" spans="1:47" ht="15.75" customHeight="1" x14ac:dyDescent="0.15">
      <c r="A8" s="5" t="s">
        <v>12</v>
      </c>
      <c r="B8" s="5"/>
      <c r="C8" s="5"/>
      <c r="D8" s="10" t="s">
        <v>2</v>
      </c>
      <c r="E8" s="84" t="str">
        <f>DATA!F10</f>
        <v>Andhar Setiawan</v>
      </c>
      <c r="F8" s="71"/>
      <c r="G8" s="71"/>
      <c r="H8" s="71"/>
      <c r="I8" s="71"/>
      <c r="J8" s="71"/>
      <c r="K8" s="71"/>
      <c r="L8" s="71"/>
      <c r="M8" s="71"/>
      <c r="N8" s="71"/>
      <c r="AA8" s="5" t="s">
        <v>4</v>
      </c>
      <c r="AD8" s="10" t="s">
        <v>2</v>
      </c>
      <c r="AE8" s="84" t="str">
        <f>DATA!F6</f>
        <v>POJ42050260</v>
      </c>
      <c r="AF8" s="71"/>
      <c r="AG8" s="71"/>
      <c r="AH8" s="71"/>
      <c r="AI8" s="71"/>
      <c r="AJ8" s="71"/>
      <c r="AK8" s="71"/>
      <c r="AL8" s="71"/>
    </row>
    <row r="9" spans="1:47" ht="15.75" customHeight="1" x14ac:dyDescent="0.15">
      <c r="A9" s="5" t="s">
        <v>14</v>
      </c>
      <c r="B9" s="5"/>
      <c r="D9" s="10" t="s">
        <v>2</v>
      </c>
      <c r="E9" s="84" t="str">
        <f>DATA!F11</f>
        <v>Lailatul Fitriana R</v>
      </c>
      <c r="F9" s="71"/>
      <c r="G9" s="71"/>
      <c r="H9" s="71"/>
      <c r="I9" s="71"/>
      <c r="J9" s="71"/>
      <c r="K9" s="71"/>
      <c r="L9" s="71"/>
      <c r="M9" s="71"/>
      <c r="N9" s="71"/>
      <c r="AA9" s="5" t="s">
        <v>21</v>
      </c>
      <c r="AD9" s="10" t="s">
        <v>2</v>
      </c>
      <c r="AE9" s="85" t="str">
        <f>DATA!F13</f>
        <v>MARCH</v>
      </c>
      <c r="AF9" s="71"/>
      <c r="AG9" s="71"/>
      <c r="AH9" s="11" t="s">
        <v>18</v>
      </c>
      <c r="AI9" s="85" t="str">
        <f>DATA!J13</f>
        <v>APRIL</v>
      </c>
      <c r="AJ9" s="71"/>
      <c r="AK9" s="71"/>
      <c r="AL9" s="71"/>
    </row>
    <row r="10" spans="1:47" ht="23.25" customHeight="1" x14ac:dyDescent="0.15">
      <c r="A10" s="22" t="s">
        <v>56</v>
      </c>
    </row>
    <row r="11" spans="1:47" ht="49.5" customHeight="1" x14ac:dyDescent="0.15">
      <c r="A11" s="35" t="s">
        <v>57</v>
      </c>
      <c r="B11" s="125" t="s">
        <v>22</v>
      </c>
      <c r="C11" s="114"/>
      <c r="D11" s="125" t="s">
        <v>58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114"/>
      <c r="V11" s="126" t="s">
        <v>59</v>
      </c>
      <c r="W11" s="114"/>
      <c r="X11" s="125" t="s">
        <v>60</v>
      </c>
      <c r="Y11" s="67"/>
      <c r="Z11" s="67"/>
      <c r="AA11" s="67"/>
      <c r="AB11" s="67"/>
      <c r="AC11" s="67"/>
      <c r="AD11" s="67"/>
      <c r="AE11" s="114"/>
      <c r="AF11" s="126" t="s">
        <v>61</v>
      </c>
      <c r="AG11" s="67"/>
      <c r="AH11" s="114"/>
      <c r="AI11" s="125" t="s">
        <v>62</v>
      </c>
      <c r="AJ11" s="67"/>
      <c r="AK11" s="67"/>
      <c r="AL11" s="114"/>
      <c r="AR11" s="50"/>
      <c r="AS11" s="50"/>
      <c r="AT11" s="50"/>
      <c r="AU11" s="50"/>
    </row>
    <row r="12" spans="1:47" s="49" customFormat="1" ht="21" customHeight="1" x14ac:dyDescent="0.15">
      <c r="A12" s="46">
        <v>1</v>
      </c>
      <c r="B12" s="89" t="s">
        <v>73</v>
      </c>
      <c r="C12" s="150"/>
      <c r="D12" s="154" t="s">
        <v>74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89">
        <v>1</v>
      </c>
      <c r="W12" s="150"/>
      <c r="X12" s="156" t="s">
        <v>75</v>
      </c>
      <c r="Y12" s="157"/>
      <c r="Z12" s="157"/>
      <c r="AA12" s="157"/>
      <c r="AB12" s="157"/>
      <c r="AC12" s="157"/>
      <c r="AD12" s="157"/>
      <c r="AE12" s="157"/>
      <c r="AF12" s="151"/>
      <c r="AG12" s="151"/>
      <c r="AH12" s="151"/>
      <c r="AI12" s="151"/>
      <c r="AJ12" s="151"/>
      <c r="AK12" s="151"/>
      <c r="AL12" s="148"/>
    </row>
    <row r="13" spans="1:47" s="49" customFormat="1" ht="21" customHeight="1" x14ac:dyDescent="0.15">
      <c r="A13" s="88">
        <v>2</v>
      </c>
      <c r="B13" s="89" t="s">
        <v>76</v>
      </c>
      <c r="C13" s="90"/>
      <c r="D13" s="154" t="s">
        <v>77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89">
        <v>1</v>
      </c>
      <c r="W13" s="90"/>
      <c r="X13" s="156" t="s">
        <v>78</v>
      </c>
      <c r="Y13" s="157"/>
      <c r="Z13" s="157"/>
      <c r="AA13" s="157"/>
      <c r="AB13" s="157"/>
      <c r="AC13" s="157"/>
      <c r="AD13" s="157"/>
      <c r="AE13" s="157"/>
      <c r="AL13" s="149"/>
    </row>
    <row r="14" spans="1:47" s="49" customFormat="1" ht="21" customHeight="1" x14ac:dyDescent="0.15">
      <c r="A14" s="88"/>
      <c r="B14" s="91"/>
      <c r="C14" s="92"/>
      <c r="D14" s="154" t="s">
        <v>79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91"/>
      <c r="W14" s="92"/>
      <c r="X14" s="156" t="s">
        <v>80</v>
      </c>
      <c r="Y14" s="157"/>
      <c r="Z14" s="157"/>
      <c r="AA14" s="157"/>
      <c r="AB14" s="157"/>
      <c r="AC14" s="157"/>
      <c r="AD14" s="157"/>
      <c r="AE14" s="157"/>
      <c r="AL14" s="149"/>
    </row>
    <row r="15" spans="1:47" s="49" customFormat="1" ht="21" customHeight="1" x14ac:dyDescent="0.15">
      <c r="A15" s="88"/>
      <c r="B15" s="93"/>
      <c r="C15" s="94"/>
      <c r="D15" s="154" t="s">
        <v>81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93"/>
      <c r="W15" s="94"/>
      <c r="X15" s="156" t="s">
        <v>82</v>
      </c>
      <c r="Y15" s="157"/>
      <c r="Z15" s="157"/>
      <c r="AA15" s="157"/>
      <c r="AB15" s="157"/>
      <c r="AC15" s="157"/>
      <c r="AD15" s="157"/>
      <c r="AE15" s="157"/>
      <c r="AL15" s="149"/>
    </row>
    <row r="16" spans="1:47" s="49" customFormat="1" ht="21" customHeight="1" x14ac:dyDescent="0.15">
      <c r="A16" s="46">
        <v>3</v>
      </c>
      <c r="B16" s="89" t="s">
        <v>83</v>
      </c>
      <c r="C16" s="150"/>
      <c r="D16" s="154" t="s">
        <v>84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89">
        <v>1</v>
      </c>
      <c r="W16" s="150"/>
      <c r="X16" s="156" t="s">
        <v>85</v>
      </c>
      <c r="Y16" s="157"/>
      <c r="Z16" s="157"/>
      <c r="AA16" s="157"/>
      <c r="AB16" s="157"/>
      <c r="AC16" s="157"/>
      <c r="AD16" s="157"/>
      <c r="AE16" s="157"/>
      <c r="AL16" s="149"/>
    </row>
    <row r="17" spans="1:38" s="49" customFormat="1" ht="21" customHeight="1" x14ac:dyDescent="0.15">
      <c r="A17" s="88">
        <v>4</v>
      </c>
      <c r="B17" s="89" t="s">
        <v>86</v>
      </c>
      <c r="C17" s="90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89">
        <v>1</v>
      </c>
      <c r="W17" s="90"/>
      <c r="X17" s="156" t="s">
        <v>88</v>
      </c>
      <c r="Y17" s="157"/>
      <c r="Z17" s="157"/>
      <c r="AA17" s="157"/>
      <c r="AB17" s="157"/>
      <c r="AC17" s="157"/>
      <c r="AD17" s="157"/>
      <c r="AE17" s="157"/>
      <c r="AL17" s="149"/>
    </row>
    <row r="18" spans="1:38" s="49" customFormat="1" ht="21" customHeight="1" x14ac:dyDescent="0.15">
      <c r="A18" s="88"/>
      <c r="B18" s="93"/>
      <c r="C18" s="94"/>
      <c r="D18" s="154" t="s">
        <v>89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93"/>
      <c r="W18" s="94"/>
      <c r="X18" s="156" t="s">
        <v>90</v>
      </c>
      <c r="Y18" s="157"/>
      <c r="Z18" s="157"/>
      <c r="AA18" s="157"/>
      <c r="AB18" s="157"/>
      <c r="AC18" s="157"/>
      <c r="AD18" s="157"/>
      <c r="AE18" s="157"/>
      <c r="AL18" s="149"/>
    </row>
    <row r="19" spans="1:38" s="49" customFormat="1" ht="21" customHeight="1" x14ac:dyDescent="0.15">
      <c r="A19" s="46">
        <v>5</v>
      </c>
      <c r="B19" s="89" t="s">
        <v>91</v>
      </c>
      <c r="C19" s="150"/>
      <c r="D19" s="154" t="s">
        <v>92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89">
        <v>1</v>
      </c>
      <c r="W19" s="150"/>
      <c r="X19" s="156" t="s">
        <v>93</v>
      </c>
      <c r="Y19" s="157"/>
      <c r="Z19" s="157"/>
      <c r="AA19" s="157"/>
      <c r="AB19" s="157"/>
      <c r="AC19" s="157"/>
      <c r="AD19" s="157"/>
      <c r="AE19" s="157"/>
      <c r="AL19" s="149"/>
    </row>
    <row r="20" spans="1:38" s="49" customFormat="1" ht="21" customHeight="1" x14ac:dyDescent="0.15">
      <c r="A20" s="88">
        <v>6</v>
      </c>
      <c r="B20" s="89" t="s">
        <v>94</v>
      </c>
      <c r="C20" s="90"/>
      <c r="D20" s="154" t="s">
        <v>95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89">
        <v>1</v>
      </c>
      <c r="W20" s="90"/>
      <c r="X20" s="156" t="s">
        <v>96</v>
      </c>
      <c r="Y20" s="157"/>
      <c r="Z20" s="157"/>
      <c r="AA20" s="157"/>
      <c r="AB20" s="157"/>
      <c r="AC20" s="157"/>
      <c r="AD20" s="157"/>
      <c r="AE20" s="157"/>
      <c r="AL20" s="149"/>
    </row>
    <row r="21" spans="1:38" s="49" customFormat="1" ht="21" customHeight="1" x14ac:dyDescent="0.15">
      <c r="A21" s="88"/>
      <c r="B21" s="91"/>
      <c r="C21" s="92"/>
      <c r="D21" s="154" t="s">
        <v>79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91"/>
      <c r="W21" s="92"/>
      <c r="X21" s="156" t="s">
        <v>97</v>
      </c>
      <c r="Y21" s="157"/>
      <c r="Z21" s="157"/>
      <c r="AA21" s="157"/>
      <c r="AB21" s="157"/>
      <c r="AC21" s="157"/>
      <c r="AD21" s="157"/>
      <c r="AE21" s="157"/>
      <c r="AL21" s="149"/>
    </row>
    <row r="22" spans="1:38" s="49" customFormat="1" ht="21" customHeight="1" x14ac:dyDescent="0.15">
      <c r="A22" s="88"/>
      <c r="B22" s="93"/>
      <c r="C22" s="94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93"/>
      <c r="W22" s="94"/>
      <c r="X22" s="156" t="s">
        <v>98</v>
      </c>
      <c r="Y22" s="157"/>
      <c r="Z22" s="157"/>
      <c r="AA22" s="157"/>
      <c r="AB22" s="157"/>
      <c r="AC22" s="157"/>
      <c r="AD22" s="157"/>
      <c r="AE22" s="157"/>
      <c r="AL22" s="149"/>
    </row>
    <row r="23" spans="1:38" s="49" customFormat="1" ht="21" customHeight="1" x14ac:dyDescent="0.15">
      <c r="A23" s="88">
        <v>7</v>
      </c>
      <c r="B23" s="89" t="s">
        <v>99</v>
      </c>
      <c r="C23" s="90"/>
      <c r="D23" s="154" t="s">
        <v>100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89">
        <v>1</v>
      </c>
      <c r="W23" s="90"/>
      <c r="X23" s="156" t="s">
        <v>101</v>
      </c>
      <c r="Y23" s="157"/>
      <c r="Z23" s="157"/>
      <c r="AA23" s="157"/>
      <c r="AB23" s="157"/>
      <c r="AC23" s="157"/>
      <c r="AD23" s="157"/>
      <c r="AE23" s="157"/>
      <c r="AL23" s="149"/>
    </row>
    <row r="24" spans="1:38" s="49" customFormat="1" ht="21" customHeight="1" x14ac:dyDescent="0.15">
      <c r="A24" s="88"/>
      <c r="B24" s="93"/>
      <c r="C24" s="94"/>
      <c r="D24" s="154" t="s">
        <v>102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93"/>
      <c r="W24" s="94"/>
      <c r="X24" s="156" t="s">
        <v>103</v>
      </c>
      <c r="Y24" s="157"/>
      <c r="Z24" s="157"/>
      <c r="AA24" s="157"/>
      <c r="AB24" s="157"/>
      <c r="AC24" s="157"/>
      <c r="AD24" s="157"/>
      <c r="AE24" s="157"/>
      <c r="AL24" s="149"/>
    </row>
    <row r="25" spans="1:38" s="49" customFormat="1" ht="21" customHeight="1" x14ac:dyDescent="0.15">
      <c r="A25" s="88">
        <v>8</v>
      </c>
      <c r="B25" s="89" t="s">
        <v>104</v>
      </c>
      <c r="C25" s="90"/>
      <c r="D25" s="154" t="s">
        <v>105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89">
        <v>1</v>
      </c>
      <c r="W25" s="90"/>
      <c r="X25" s="156" t="s">
        <v>106</v>
      </c>
      <c r="Y25" s="157"/>
      <c r="Z25" s="157"/>
      <c r="AA25" s="157"/>
      <c r="AB25" s="157"/>
      <c r="AC25" s="157"/>
      <c r="AD25" s="157"/>
      <c r="AE25" s="157"/>
      <c r="AL25" s="149"/>
    </row>
    <row r="26" spans="1:38" s="49" customFormat="1" ht="21" customHeight="1" x14ac:dyDescent="0.15">
      <c r="A26" s="88"/>
      <c r="B26" s="93"/>
      <c r="C26" s="94"/>
      <c r="D26" s="154" t="s">
        <v>107</v>
      </c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93"/>
      <c r="W26" s="94"/>
      <c r="X26" s="156" t="s">
        <v>108</v>
      </c>
      <c r="Y26" s="157"/>
      <c r="Z26" s="157"/>
      <c r="AA26" s="157"/>
      <c r="AB26" s="157"/>
      <c r="AC26" s="157"/>
      <c r="AD26" s="157"/>
      <c r="AE26" s="157"/>
      <c r="AL26" s="149"/>
    </row>
    <row r="27" spans="1:38" s="49" customFormat="1" ht="21" customHeight="1" x14ac:dyDescent="0.15">
      <c r="A27" s="88">
        <v>9</v>
      </c>
      <c r="B27" s="89" t="s">
        <v>109</v>
      </c>
      <c r="C27" s="90"/>
      <c r="D27" s="154" t="s">
        <v>110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89">
        <v>1</v>
      </c>
      <c r="W27" s="90"/>
      <c r="X27" s="156" t="s">
        <v>111</v>
      </c>
      <c r="Y27" s="157"/>
      <c r="Z27" s="157"/>
      <c r="AA27" s="157"/>
      <c r="AB27" s="157"/>
      <c r="AC27" s="157"/>
      <c r="AD27" s="157"/>
      <c r="AE27" s="157"/>
      <c r="AL27" s="149"/>
    </row>
    <row r="28" spans="1:38" s="49" customFormat="1" ht="21" customHeight="1" x14ac:dyDescent="0.15">
      <c r="A28" s="88"/>
      <c r="B28" s="93"/>
      <c r="C28" s="94"/>
      <c r="D28" s="154" t="s">
        <v>92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93"/>
      <c r="W28" s="94"/>
      <c r="X28" s="156" t="s">
        <v>112</v>
      </c>
      <c r="Y28" s="157"/>
      <c r="Z28" s="157"/>
      <c r="AA28" s="157"/>
      <c r="AB28" s="157"/>
      <c r="AC28" s="157"/>
      <c r="AD28" s="157"/>
      <c r="AE28" s="157"/>
      <c r="AL28" s="149"/>
    </row>
    <row r="29" spans="1:38" s="49" customFormat="1" ht="21" customHeight="1" x14ac:dyDescent="0.15">
      <c r="A29" s="88">
        <v>10</v>
      </c>
      <c r="B29" s="89" t="s">
        <v>113</v>
      </c>
      <c r="C29" s="90"/>
      <c r="D29" s="154" t="s">
        <v>92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89">
        <v>1</v>
      </c>
      <c r="W29" s="90"/>
      <c r="X29" s="156" t="s">
        <v>114</v>
      </c>
      <c r="Y29" s="157"/>
      <c r="Z29" s="157"/>
      <c r="AA29" s="157"/>
      <c r="AB29" s="157"/>
      <c r="AC29" s="157"/>
      <c r="AD29" s="157"/>
      <c r="AE29" s="157"/>
      <c r="AL29" s="149"/>
    </row>
    <row r="30" spans="1:38" s="49" customFormat="1" ht="21" customHeight="1" x14ac:dyDescent="0.15">
      <c r="A30" s="88"/>
      <c r="B30" s="93"/>
      <c r="C30" s="94"/>
      <c r="D30" s="154" t="s">
        <v>115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93"/>
      <c r="W30" s="94"/>
      <c r="X30" s="156" t="s">
        <v>116</v>
      </c>
      <c r="Y30" s="157"/>
      <c r="Z30" s="157"/>
      <c r="AA30" s="157"/>
      <c r="AB30" s="157"/>
      <c r="AC30" s="157"/>
      <c r="AD30" s="157"/>
      <c r="AE30" s="157"/>
      <c r="AL30" s="149"/>
    </row>
    <row r="31" spans="1:38" s="49" customFormat="1" ht="21" customHeight="1" x14ac:dyDescent="0.15">
      <c r="A31" s="88">
        <v>11</v>
      </c>
      <c r="B31" s="89" t="s">
        <v>117</v>
      </c>
      <c r="C31" s="90"/>
      <c r="D31" s="154" t="s">
        <v>118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89">
        <v>1</v>
      </c>
      <c r="W31" s="90"/>
      <c r="X31" s="156" t="s">
        <v>119</v>
      </c>
      <c r="Y31" s="157"/>
      <c r="Z31" s="157"/>
      <c r="AA31" s="157"/>
      <c r="AB31" s="157"/>
      <c r="AC31" s="157"/>
      <c r="AD31" s="157"/>
      <c r="AE31" s="157"/>
      <c r="AL31" s="149"/>
    </row>
    <row r="32" spans="1:38" s="49" customFormat="1" ht="21" customHeight="1" x14ac:dyDescent="0.15">
      <c r="A32" s="88"/>
      <c r="B32" s="93"/>
      <c r="C32" s="94"/>
      <c r="D32" s="154" t="s">
        <v>120</v>
      </c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93"/>
      <c r="W32" s="94"/>
      <c r="X32" s="156" t="s">
        <v>121</v>
      </c>
      <c r="Y32" s="157"/>
      <c r="Z32" s="157"/>
      <c r="AA32" s="157"/>
      <c r="AB32" s="157"/>
      <c r="AC32" s="157"/>
      <c r="AD32" s="157"/>
      <c r="AE32" s="157"/>
      <c r="AL32" s="149"/>
    </row>
    <row r="33" spans="1:38" s="49" customFormat="1" ht="21" customHeight="1" x14ac:dyDescent="0.15">
      <c r="A33" s="88">
        <v>12</v>
      </c>
      <c r="B33" s="89" t="s">
        <v>122</v>
      </c>
      <c r="C33" s="90"/>
      <c r="D33" s="154" t="s">
        <v>123</v>
      </c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89">
        <v>1</v>
      </c>
      <c r="W33" s="90"/>
      <c r="X33" s="156" t="s">
        <v>124</v>
      </c>
      <c r="Y33" s="157"/>
      <c r="Z33" s="157"/>
      <c r="AA33" s="157"/>
      <c r="AB33" s="157"/>
      <c r="AC33" s="157"/>
      <c r="AD33" s="157"/>
      <c r="AE33" s="157"/>
      <c r="AL33" s="149"/>
    </row>
    <row r="34" spans="1:38" s="49" customFormat="1" ht="21" customHeight="1" x14ac:dyDescent="0.15">
      <c r="A34" s="88"/>
      <c r="B34" s="93"/>
      <c r="C34" s="94"/>
      <c r="D34" s="154" t="s">
        <v>125</v>
      </c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93"/>
      <c r="W34" s="94"/>
      <c r="X34" s="156" t="s">
        <v>126</v>
      </c>
      <c r="Y34" s="157"/>
      <c r="Z34" s="157"/>
      <c r="AA34" s="157"/>
      <c r="AB34" s="157"/>
      <c r="AC34" s="157"/>
      <c r="AD34" s="157"/>
      <c r="AE34" s="157"/>
      <c r="AL34" s="149"/>
    </row>
    <row r="35" spans="1:38" s="49" customFormat="1" ht="21" customHeight="1" x14ac:dyDescent="0.15">
      <c r="A35" s="88">
        <v>13</v>
      </c>
      <c r="B35" s="89" t="s">
        <v>127</v>
      </c>
      <c r="C35" s="90"/>
      <c r="D35" s="154" t="s">
        <v>128</v>
      </c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89">
        <v>1</v>
      </c>
      <c r="W35" s="90"/>
      <c r="X35" s="156" t="s">
        <v>129</v>
      </c>
      <c r="Y35" s="157"/>
      <c r="Z35" s="157"/>
      <c r="AA35" s="157"/>
      <c r="AB35" s="157"/>
      <c r="AC35" s="157"/>
      <c r="AD35" s="157"/>
      <c r="AE35" s="157"/>
      <c r="AL35" s="149"/>
    </row>
    <row r="36" spans="1:38" s="49" customFormat="1" ht="21" customHeight="1" x14ac:dyDescent="0.15">
      <c r="A36" s="88"/>
      <c r="B36" s="93"/>
      <c r="C36" s="94"/>
      <c r="D36" s="154" t="s">
        <v>130</v>
      </c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93"/>
      <c r="W36" s="94"/>
      <c r="X36" s="156" t="s">
        <v>131</v>
      </c>
      <c r="Y36" s="157"/>
      <c r="Z36" s="157"/>
      <c r="AA36" s="157"/>
      <c r="AB36" s="157"/>
      <c r="AC36" s="157"/>
      <c r="AD36" s="157"/>
      <c r="AE36" s="157"/>
      <c r="AL36" s="149"/>
    </row>
    <row r="37" spans="1:38" s="49" customFormat="1" ht="21" customHeight="1" x14ac:dyDescent="0.15">
      <c r="A37" s="46">
        <v>14</v>
      </c>
      <c r="B37" s="89" t="s">
        <v>132</v>
      </c>
      <c r="C37" s="150"/>
      <c r="D37" s="154" t="s">
        <v>133</v>
      </c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89">
        <v>1</v>
      </c>
      <c r="W37" s="150"/>
      <c r="X37" s="156" t="s">
        <v>134</v>
      </c>
      <c r="Y37" s="157"/>
      <c r="Z37" s="157"/>
      <c r="AA37" s="157"/>
      <c r="AB37" s="157"/>
      <c r="AC37" s="157"/>
      <c r="AD37" s="157"/>
      <c r="AE37" s="157"/>
      <c r="AL37" s="149"/>
    </row>
    <row r="38" spans="1:38" s="49" customFormat="1" ht="21" customHeight="1" x14ac:dyDescent="0.15">
      <c r="A38" s="88">
        <v>15</v>
      </c>
      <c r="B38" s="89" t="s">
        <v>135</v>
      </c>
      <c r="C38" s="90"/>
      <c r="D38" s="154" t="s">
        <v>133</v>
      </c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89">
        <v>1</v>
      </c>
      <c r="W38" s="90"/>
      <c r="X38" s="156" t="s">
        <v>136</v>
      </c>
      <c r="Y38" s="157"/>
      <c r="Z38" s="157"/>
      <c r="AA38" s="157"/>
      <c r="AB38" s="157"/>
      <c r="AC38" s="157"/>
      <c r="AD38" s="157"/>
      <c r="AE38" s="157"/>
      <c r="AL38" s="149"/>
    </row>
    <row r="39" spans="1:38" s="49" customFormat="1" ht="21" customHeight="1" x14ac:dyDescent="0.15">
      <c r="A39" s="88"/>
      <c r="B39" s="93"/>
      <c r="C39" s="94"/>
      <c r="D39" s="154" t="s">
        <v>137</v>
      </c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93"/>
      <c r="W39" s="94"/>
      <c r="X39" s="156" t="s">
        <v>138</v>
      </c>
      <c r="Y39" s="157"/>
      <c r="Z39" s="157"/>
      <c r="AA39" s="157"/>
      <c r="AB39" s="157"/>
      <c r="AC39" s="157"/>
      <c r="AD39" s="157"/>
      <c r="AE39" s="157"/>
      <c r="AL39" s="149"/>
    </row>
    <row r="40" spans="1:38" s="49" customFormat="1" ht="21" customHeight="1" x14ac:dyDescent="0.15">
      <c r="A40" s="46">
        <v>16</v>
      </c>
      <c r="B40" s="89" t="s">
        <v>139</v>
      </c>
      <c r="C40" s="150"/>
      <c r="D40" s="154" t="s">
        <v>140</v>
      </c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89">
        <v>1</v>
      </c>
      <c r="W40" s="150"/>
      <c r="X40" s="156" t="s">
        <v>141</v>
      </c>
      <c r="Y40" s="157"/>
      <c r="Z40" s="157"/>
      <c r="AA40" s="157"/>
      <c r="AB40" s="157"/>
      <c r="AC40" s="157"/>
      <c r="AD40" s="157"/>
      <c r="AE40" s="157"/>
      <c r="AL40" s="149"/>
    </row>
    <row r="41" spans="1:38" s="49" customFormat="1" ht="21" customHeight="1" x14ac:dyDescent="0.15">
      <c r="A41" s="88">
        <v>17</v>
      </c>
      <c r="B41" s="89" t="s">
        <v>142</v>
      </c>
      <c r="C41" s="90"/>
      <c r="D41" s="154" t="s">
        <v>143</v>
      </c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89">
        <v>1</v>
      </c>
      <c r="W41" s="90"/>
      <c r="X41" s="156" t="s">
        <v>144</v>
      </c>
      <c r="Y41" s="157"/>
      <c r="Z41" s="157"/>
      <c r="AA41" s="157"/>
      <c r="AB41" s="157"/>
      <c r="AC41" s="157"/>
      <c r="AD41" s="157"/>
      <c r="AE41" s="157"/>
      <c r="AL41" s="149"/>
    </row>
    <row r="42" spans="1:38" s="49" customFormat="1" ht="21" customHeight="1" x14ac:dyDescent="0.15">
      <c r="A42" s="88"/>
      <c r="B42" s="93"/>
      <c r="C42" s="94"/>
      <c r="D42" s="154" t="s">
        <v>145</v>
      </c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93"/>
      <c r="W42" s="94"/>
      <c r="X42" s="156" t="s">
        <v>146</v>
      </c>
      <c r="Y42" s="157"/>
      <c r="Z42" s="157"/>
      <c r="AA42" s="157"/>
      <c r="AB42" s="157"/>
      <c r="AC42" s="157"/>
      <c r="AD42" s="157"/>
      <c r="AE42" s="157"/>
      <c r="AL42" s="149"/>
    </row>
    <row r="43" spans="1:38" s="49" customFormat="1" ht="21" customHeight="1" x14ac:dyDescent="0.15">
      <c r="A43" s="46">
        <v>18</v>
      </c>
      <c r="B43" s="89" t="s">
        <v>147</v>
      </c>
      <c r="C43" s="150"/>
      <c r="D43" s="154" t="s">
        <v>148</v>
      </c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89">
        <v>1</v>
      </c>
      <c r="W43" s="150"/>
      <c r="X43" s="156" t="s">
        <v>149</v>
      </c>
      <c r="Y43" s="157"/>
      <c r="Z43" s="157"/>
      <c r="AA43" s="157"/>
      <c r="AB43" s="157"/>
      <c r="AC43" s="157"/>
      <c r="AD43" s="157"/>
      <c r="AE43" s="157"/>
      <c r="AL43" s="149"/>
    </row>
    <row r="44" spans="1:38" s="49" customFormat="1" ht="21" customHeight="1" x14ac:dyDescent="0.15">
      <c r="A44" s="46">
        <v>19</v>
      </c>
      <c r="B44" s="89" t="s">
        <v>150</v>
      </c>
      <c r="C44" s="150"/>
      <c r="D44" s="154" t="s">
        <v>140</v>
      </c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89">
        <v>1</v>
      </c>
      <c r="W44" s="150"/>
      <c r="X44" s="156" t="s">
        <v>151</v>
      </c>
      <c r="Y44" s="157"/>
      <c r="Z44" s="157"/>
      <c r="AA44" s="157"/>
      <c r="AB44" s="157"/>
      <c r="AC44" s="157"/>
      <c r="AD44" s="157"/>
      <c r="AE44" s="157"/>
      <c r="AL44" s="149"/>
    </row>
    <row r="45" spans="1:38" s="49" customFormat="1" ht="21" customHeight="1" x14ac:dyDescent="0.15">
      <c r="A45" s="88">
        <v>20</v>
      </c>
      <c r="B45" s="89" t="s">
        <v>152</v>
      </c>
      <c r="C45" s="90"/>
      <c r="D45" s="154" t="s">
        <v>153</v>
      </c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89">
        <v>1</v>
      </c>
      <c r="W45" s="90"/>
      <c r="X45" s="156" t="s">
        <v>154</v>
      </c>
      <c r="Y45" s="157"/>
      <c r="Z45" s="157"/>
      <c r="AA45" s="157"/>
      <c r="AB45" s="157"/>
      <c r="AC45" s="157"/>
      <c r="AD45" s="157"/>
      <c r="AE45" s="157"/>
      <c r="AL45" s="149"/>
    </row>
    <row r="46" spans="1:38" s="49" customFormat="1" ht="21" customHeight="1" x14ac:dyDescent="0.15">
      <c r="A46" s="88"/>
      <c r="B46" s="93"/>
      <c r="C46" s="94"/>
      <c r="D46" s="154" t="s">
        <v>155</v>
      </c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93"/>
      <c r="W46" s="94"/>
      <c r="X46" s="156" t="s">
        <v>156</v>
      </c>
      <c r="Y46" s="157"/>
      <c r="Z46" s="157"/>
      <c r="AA46" s="157"/>
      <c r="AB46" s="157"/>
      <c r="AC46" s="157"/>
      <c r="AD46" s="157"/>
      <c r="AE46" s="157"/>
      <c r="AL46" s="149"/>
    </row>
    <row r="47" spans="1:38" s="49" customFormat="1" ht="21" customHeight="1" x14ac:dyDescent="0.15">
      <c r="A47" s="46">
        <v>21</v>
      </c>
      <c r="B47" s="89" t="s">
        <v>157</v>
      </c>
      <c r="C47" s="150"/>
      <c r="D47" s="154" t="s">
        <v>155</v>
      </c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89">
        <v>1</v>
      </c>
      <c r="W47" s="150"/>
      <c r="X47" s="156" t="s">
        <v>158</v>
      </c>
      <c r="Y47" s="157"/>
      <c r="Z47" s="157"/>
      <c r="AA47" s="157"/>
      <c r="AB47" s="157"/>
      <c r="AC47" s="157"/>
      <c r="AD47" s="157"/>
      <c r="AE47" s="157"/>
      <c r="AL47" s="149"/>
    </row>
    <row r="48" spans="1:38" s="50" customFormat="1" ht="20.25" customHeight="1" x14ac:dyDescent="0.15">
      <c r="A48" s="152" t="s">
        <v>63</v>
      </c>
      <c r="B48" s="152"/>
      <c r="C48" s="15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6"/>
      <c r="V48" s="145">
        <f>SUM(V12:W47)</f>
        <v>21</v>
      </c>
      <c r="W48" s="146"/>
      <c r="X48" s="95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7"/>
    </row>
    <row r="49" spans="1:38" ht="19.5" customHeight="1" x14ac:dyDescent="0.15">
      <c r="A49" s="25" t="s">
        <v>64</v>
      </c>
    </row>
    <row r="50" spans="1:38" ht="49.5" customHeight="1" x14ac:dyDescent="0.15">
      <c r="A50" s="26" t="s">
        <v>57</v>
      </c>
      <c r="B50" s="98" t="s">
        <v>22</v>
      </c>
      <c r="C50" s="100"/>
      <c r="D50" s="98" t="s">
        <v>58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16" t="s">
        <v>65</v>
      </c>
      <c r="W50" s="118"/>
      <c r="X50" s="98" t="s">
        <v>60</v>
      </c>
      <c r="Y50" s="99"/>
      <c r="Z50" s="99"/>
      <c r="AA50" s="99"/>
      <c r="AB50" s="99"/>
      <c r="AC50" s="99"/>
      <c r="AD50" s="99"/>
      <c r="AE50" s="100"/>
      <c r="AF50" s="116" t="s">
        <v>61</v>
      </c>
      <c r="AG50" s="117"/>
      <c r="AH50" s="118"/>
      <c r="AI50" s="116" t="s">
        <v>66</v>
      </c>
      <c r="AJ50" s="117"/>
      <c r="AK50" s="117"/>
      <c r="AL50" s="118"/>
    </row>
    <row r="51" spans="1:38" ht="1.5" customHeight="1" x14ac:dyDescent="0.15">
      <c r="A51" s="47"/>
      <c r="B51" s="119"/>
      <c r="C51" s="114"/>
      <c r="D51" s="119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114"/>
      <c r="V51" s="116"/>
      <c r="W51" s="64"/>
      <c r="X51" s="98"/>
      <c r="Y51" s="63"/>
      <c r="Z51" s="63"/>
      <c r="AA51" s="63"/>
      <c r="AB51" s="63"/>
      <c r="AC51" s="63"/>
      <c r="AD51" s="63"/>
      <c r="AE51" s="64"/>
      <c r="AF51" s="98"/>
      <c r="AG51" s="63"/>
      <c r="AH51" s="64"/>
      <c r="AI51" s="116"/>
      <c r="AJ51" s="63"/>
      <c r="AK51" s="63"/>
      <c r="AL51" s="64"/>
    </row>
    <row r="52" spans="1:38" ht="29" customHeight="1" x14ac:dyDescent="0.15">
      <c r="A52" s="48"/>
      <c r="B52" s="88"/>
      <c r="C52" s="88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20"/>
      <c r="W52" s="121"/>
      <c r="X52" s="122"/>
      <c r="Y52" s="123"/>
      <c r="Z52" s="123"/>
      <c r="AA52" s="123"/>
      <c r="AB52" s="123"/>
      <c r="AC52" s="123"/>
      <c r="AD52" s="123"/>
      <c r="AE52" s="124"/>
      <c r="AF52" s="141"/>
      <c r="AG52" s="123"/>
      <c r="AH52" s="124"/>
      <c r="AI52" s="138"/>
      <c r="AJ52" s="139"/>
      <c r="AK52" s="139"/>
      <c r="AL52" s="140"/>
    </row>
    <row r="53" spans="1:38" ht="29" customHeight="1" x14ac:dyDescent="0.15">
      <c r="A53" s="48"/>
      <c r="B53" s="88"/>
      <c r="C53" s="88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3"/>
      <c r="W53" s="144"/>
      <c r="X53" s="45"/>
      <c r="Y53" s="43"/>
      <c r="Z53" s="43"/>
      <c r="AA53" s="43"/>
      <c r="AB53" s="43"/>
      <c r="AC53" s="43"/>
      <c r="AD53" s="43"/>
      <c r="AE53" s="44"/>
      <c r="AF53" s="42"/>
      <c r="AG53" s="43"/>
      <c r="AH53" s="44"/>
      <c r="AI53" s="39"/>
      <c r="AJ53" s="40"/>
      <c r="AK53" s="40"/>
      <c r="AL53" s="41"/>
    </row>
    <row r="54" spans="1:38" ht="13" x14ac:dyDescent="0.15">
      <c r="A54" s="111" t="s">
        <v>67</v>
      </c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2"/>
      <c r="V54" s="129">
        <f>SUM(V52:W53)</f>
        <v>0</v>
      </c>
      <c r="W54" s="64"/>
      <c r="X54" s="113"/>
      <c r="Y54" s="63"/>
      <c r="Z54" s="63"/>
      <c r="AA54" s="63"/>
      <c r="AB54" s="63"/>
      <c r="AC54" s="63"/>
      <c r="AD54" s="63"/>
      <c r="AE54" s="64"/>
      <c r="AF54" s="113"/>
      <c r="AG54" s="63"/>
      <c r="AH54" s="64"/>
      <c r="AI54" s="113"/>
      <c r="AJ54" s="63"/>
      <c r="AK54" s="63"/>
      <c r="AL54" s="64"/>
    </row>
    <row r="55" spans="1:38" ht="13" x14ac:dyDescent="0.15">
      <c r="A55" s="109" t="s">
        <v>68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10"/>
      <c r="V55" s="116">
        <f>V54/8</f>
        <v>0</v>
      </c>
      <c r="W55" s="64"/>
      <c r="X55" s="98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4"/>
    </row>
    <row r="56" spans="1:38" ht="15.75" customHeight="1" x14ac:dyDescent="0.15">
      <c r="A56" s="20"/>
    </row>
    <row r="57" spans="1:38" ht="15.75" customHeight="1" x14ac:dyDescent="0.15">
      <c r="A57" s="106" t="s">
        <v>41</v>
      </c>
      <c r="B57" s="107"/>
      <c r="C57" s="107"/>
      <c r="D57" s="107"/>
      <c r="E57" s="107"/>
      <c r="F57" s="107"/>
      <c r="G57" s="108"/>
      <c r="H57" s="133" t="s">
        <v>42</v>
      </c>
      <c r="I57" s="64"/>
      <c r="J57" s="133" t="s">
        <v>43</v>
      </c>
      <c r="K57" s="64"/>
      <c r="M57" s="17" t="s">
        <v>44</v>
      </c>
      <c r="N57" s="17"/>
      <c r="O57" s="17"/>
      <c r="P57" s="17"/>
      <c r="Q57" s="17"/>
      <c r="R57" s="17"/>
      <c r="S57" s="17"/>
      <c r="T57" s="17"/>
      <c r="AE57" s="66" t="s">
        <v>45</v>
      </c>
      <c r="AF57" s="67"/>
      <c r="AG57" s="67"/>
      <c r="AH57" s="67"/>
      <c r="AI57" s="67"/>
      <c r="AJ57" s="67"/>
      <c r="AK57" s="67"/>
      <c r="AL57" s="114"/>
    </row>
    <row r="58" spans="1:38" ht="15.75" customHeight="1" x14ac:dyDescent="0.15">
      <c r="A58" s="27" t="s">
        <v>69</v>
      </c>
      <c r="B58" s="103" t="s">
        <v>24</v>
      </c>
      <c r="C58" s="104"/>
      <c r="D58" s="104"/>
      <c r="E58" s="104"/>
      <c r="F58" s="104"/>
      <c r="G58" s="105"/>
      <c r="H58" s="134">
        <f>J58*8</f>
        <v>168</v>
      </c>
      <c r="I58" s="64"/>
      <c r="J58" s="128">
        <f>V48</f>
        <v>21</v>
      </c>
      <c r="K58" s="64"/>
      <c r="M58" s="17" t="s">
        <v>46</v>
      </c>
      <c r="N58" s="76" t="str">
        <f>AE9</f>
        <v>MARCH</v>
      </c>
      <c r="O58" s="69"/>
      <c r="P58" s="17" t="s">
        <v>47</v>
      </c>
      <c r="Q58" s="76" t="str">
        <f>AI9</f>
        <v>APRIL</v>
      </c>
      <c r="R58" s="69"/>
      <c r="AE58" s="68"/>
      <c r="AF58" s="69"/>
      <c r="AG58" s="69"/>
      <c r="AH58" s="69"/>
      <c r="AI58" s="69"/>
      <c r="AJ58" s="69"/>
      <c r="AK58" s="69"/>
      <c r="AL58" s="115"/>
    </row>
    <row r="59" spans="1:38" ht="15.75" customHeight="1" x14ac:dyDescent="0.15">
      <c r="A59" s="27" t="s">
        <v>25</v>
      </c>
      <c r="B59" s="103" t="s">
        <v>26</v>
      </c>
      <c r="C59" s="104"/>
      <c r="D59" s="104"/>
      <c r="E59" s="104"/>
      <c r="F59" s="104"/>
      <c r="G59" s="105"/>
      <c r="H59" s="134">
        <f>V54</f>
        <v>0</v>
      </c>
      <c r="I59" s="64"/>
      <c r="J59" s="128">
        <f>V55</f>
        <v>0</v>
      </c>
      <c r="K59" s="64"/>
      <c r="M59" s="74" t="s">
        <v>48</v>
      </c>
      <c r="N59" s="69"/>
      <c r="O59" s="69"/>
      <c r="P59" s="69"/>
      <c r="Q59" s="69"/>
      <c r="R59" s="69"/>
      <c r="S59" s="74" t="s">
        <v>49</v>
      </c>
      <c r="T59" s="74"/>
      <c r="U59" s="74"/>
      <c r="V59" s="74"/>
      <c r="W59" s="74"/>
      <c r="X59" s="74"/>
      <c r="Y59" s="74" t="s">
        <v>50</v>
      </c>
      <c r="Z59" s="69"/>
      <c r="AA59" s="69"/>
      <c r="AB59" s="69"/>
      <c r="AC59" s="69"/>
      <c r="AD59" s="69"/>
      <c r="AE59" s="68"/>
      <c r="AF59" s="69"/>
      <c r="AG59" s="69"/>
      <c r="AH59" s="69"/>
      <c r="AI59" s="69"/>
      <c r="AJ59" s="69"/>
      <c r="AK59" s="69"/>
      <c r="AL59" s="115"/>
    </row>
    <row r="60" spans="1:38" ht="15.75" customHeight="1" x14ac:dyDescent="0.15">
      <c r="A60" s="130" t="s">
        <v>39</v>
      </c>
      <c r="B60" s="131"/>
      <c r="C60" s="131"/>
      <c r="D60" s="131"/>
      <c r="E60" s="131"/>
      <c r="F60" s="131"/>
      <c r="G60" s="132"/>
      <c r="H60" s="127">
        <f>SUM(H58:I59)</f>
        <v>168</v>
      </c>
      <c r="I60" s="64"/>
      <c r="J60" s="127">
        <f>SUM(J58:K59)</f>
        <v>21</v>
      </c>
      <c r="K60" s="64"/>
      <c r="AE60" s="68"/>
      <c r="AF60" s="69"/>
      <c r="AG60" s="69"/>
      <c r="AH60" s="69"/>
      <c r="AI60" s="69"/>
      <c r="AJ60" s="69"/>
      <c r="AK60" s="69"/>
      <c r="AL60" s="115"/>
    </row>
    <row r="61" spans="1:38" ht="15.75" customHeight="1" x14ac:dyDescent="0.15">
      <c r="AE61" s="68"/>
      <c r="AF61" s="69"/>
      <c r="AG61" s="69"/>
      <c r="AH61" s="69"/>
      <c r="AI61" s="69"/>
      <c r="AJ61" s="69"/>
      <c r="AK61" s="69"/>
      <c r="AL61" s="115"/>
    </row>
    <row r="62" spans="1:38" ht="15.75" customHeight="1" x14ac:dyDescent="0.15">
      <c r="AE62" s="68"/>
      <c r="AF62" s="69"/>
      <c r="AG62" s="69"/>
      <c r="AH62" s="69"/>
      <c r="AI62" s="69"/>
      <c r="AJ62" s="69"/>
      <c r="AK62" s="69"/>
      <c r="AL62" s="115"/>
    </row>
    <row r="63" spans="1:38" ht="15.75" customHeight="1" x14ac:dyDescent="0.15">
      <c r="M63" s="101"/>
      <c r="N63" s="71"/>
      <c r="O63" s="71"/>
      <c r="P63" s="71"/>
      <c r="Q63" s="71"/>
      <c r="R63" s="102"/>
      <c r="S63" s="136"/>
      <c r="T63" s="101"/>
      <c r="U63" s="101"/>
      <c r="V63" s="101"/>
      <c r="W63" s="101"/>
      <c r="X63" s="137"/>
      <c r="Y63" s="101"/>
      <c r="Z63" s="71"/>
      <c r="AA63" s="71"/>
      <c r="AB63" s="71"/>
      <c r="AC63" s="71"/>
      <c r="AD63" s="102"/>
      <c r="AE63" s="68"/>
      <c r="AF63" s="69"/>
      <c r="AG63" s="69"/>
      <c r="AH63" s="69"/>
      <c r="AI63" s="69"/>
      <c r="AJ63" s="69"/>
      <c r="AK63" s="69"/>
      <c r="AL63" s="115"/>
    </row>
    <row r="64" spans="1:38" ht="15.75" customHeight="1" x14ac:dyDescent="0.15">
      <c r="M64" s="74" t="str">
        <f>AE7</f>
        <v>Annas Putra Anuraga</v>
      </c>
      <c r="N64" s="69"/>
      <c r="O64" s="69"/>
      <c r="P64" s="69"/>
      <c r="Q64" s="69"/>
      <c r="R64" s="69"/>
      <c r="S64" s="135" t="str">
        <f>E9</f>
        <v>Lailatul Fitriana R</v>
      </c>
      <c r="T64" s="135"/>
      <c r="U64" s="135"/>
      <c r="V64" s="135"/>
      <c r="W64" s="135"/>
      <c r="X64" s="135"/>
      <c r="Y64" s="74" t="str">
        <f>E8</f>
        <v>Andhar Setiawan</v>
      </c>
      <c r="Z64" s="69"/>
      <c r="AA64" s="69"/>
      <c r="AB64" s="69"/>
      <c r="AC64" s="69"/>
      <c r="AD64" s="69"/>
      <c r="AE64" s="68"/>
      <c r="AF64" s="69"/>
      <c r="AG64" s="69"/>
      <c r="AH64" s="69"/>
      <c r="AI64" s="69"/>
      <c r="AJ64" s="69"/>
      <c r="AK64" s="69"/>
      <c r="AL64" s="115"/>
    </row>
    <row r="65" spans="13:48" ht="15.75" customHeight="1" x14ac:dyDescent="0.15">
      <c r="M65" s="77" t="s">
        <v>159</v>
      </c>
      <c r="N65" s="69"/>
      <c r="O65" s="69"/>
      <c r="P65" s="69"/>
      <c r="Q65" s="69"/>
      <c r="R65" s="69"/>
      <c r="S65" s="77" t="s">
        <v>159</v>
      </c>
      <c r="T65" s="69"/>
      <c r="U65" s="69"/>
      <c r="V65" s="69"/>
      <c r="W65" s="69"/>
      <c r="X65" s="69"/>
      <c r="Y65" s="77" t="s">
        <v>159</v>
      </c>
      <c r="Z65" s="69"/>
      <c r="AA65" s="69"/>
      <c r="AB65" s="69"/>
      <c r="AC65" s="69"/>
      <c r="AD65" s="69"/>
      <c r="AE65" s="70"/>
      <c r="AF65" s="71"/>
      <c r="AG65" s="71"/>
      <c r="AH65" s="71"/>
      <c r="AI65" s="71"/>
      <c r="AJ65" s="71"/>
      <c r="AK65" s="71"/>
      <c r="AL65" s="102"/>
    </row>
    <row r="66" spans="13:48" ht="15.75" customHeight="1" x14ac:dyDescent="0.15"/>
    <row r="67" spans="13:48" ht="15.75" customHeight="1" x14ac:dyDescent="0.15"/>
    <row r="68" spans="13:48" ht="15.75" customHeight="1" x14ac:dyDescent="0.15"/>
    <row r="69" spans="13:48" ht="15.75" customHeight="1" x14ac:dyDescent="0.15"/>
    <row r="70" spans="13:48" ht="15.75" customHeight="1" x14ac:dyDescent="0.15"/>
    <row r="71" spans="13:48" ht="15.75" customHeight="1" x14ac:dyDescent="0.15"/>
    <row r="72" spans="13:48" ht="15.75" customHeight="1" x14ac:dyDescent="0.15"/>
    <row r="73" spans="13:48" ht="15.75" customHeight="1" x14ac:dyDescent="0.15"/>
    <row r="74" spans="13:48" ht="15.75" customHeight="1" x14ac:dyDescent="0.15"/>
    <row r="75" spans="13:48" ht="15.75" customHeight="1" x14ac:dyDescent="0.15"/>
    <row r="76" spans="13:48" ht="15.75" customHeight="1" x14ac:dyDescent="0.15"/>
    <row r="77" spans="13:48" ht="15.75" customHeight="1" x14ac:dyDescent="0.15"/>
    <row r="78" spans="13:48" ht="15.75" customHeight="1" x14ac:dyDescent="0.15">
      <c r="AR78" s="51"/>
      <c r="AU78" s="147" t="s">
        <v>72</v>
      </c>
      <c r="AV78" s="147" t="s">
        <v>72</v>
      </c>
    </row>
    <row r="79" spans="13:48" ht="15.75" customHeight="1" x14ac:dyDescent="0.15">
      <c r="AR79" s="51"/>
      <c r="AU79" s="147" t="s">
        <v>72</v>
      </c>
      <c r="AV79" s="147" t="s">
        <v>72</v>
      </c>
    </row>
    <row r="80" spans="13:48" ht="15.75" customHeight="1" x14ac:dyDescent="0.15">
      <c r="AR80" s="51"/>
      <c r="AU80" s="147" t="s">
        <v>72</v>
      </c>
      <c r="AV80" s="147" t="s">
        <v>72</v>
      </c>
    </row>
    <row r="81" spans="44:48" ht="15.75" customHeight="1" x14ac:dyDescent="0.15">
      <c r="AR81" s="51"/>
      <c r="AU81" s="147" t="s">
        <v>72</v>
      </c>
      <c r="AV81" s="147" t="s">
        <v>72</v>
      </c>
    </row>
    <row r="82" spans="44:48" ht="15.75" customHeight="1" x14ac:dyDescent="0.15">
      <c r="AR82" s="51"/>
      <c r="AU82" s="147" t="s">
        <v>72</v>
      </c>
      <c r="AV82" s="147" t="s">
        <v>72</v>
      </c>
    </row>
    <row r="83" spans="44:48" ht="15.75" customHeight="1" x14ac:dyDescent="0.15">
      <c r="AR83" s="51"/>
      <c r="AU83" s="147" t="s">
        <v>72</v>
      </c>
      <c r="AV83" s="147" t="s">
        <v>72</v>
      </c>
    </row>
    <row r="84" spans="44:48" ht="15.75" customHeight="1" x14ac:dyDescent="0.15">
      <c r="AR84" s="51"/>
      <c r="AU84" s="147" t="s">
        <v>72</v>
      </c>
      <c r="AV84" s="147" t="s">
        <v>72</v>
      </c>
    </row>
    <row r="85" spans="44:48" ht="15.75" customHeight="1" x14ac:dyDescent="0.15">
      <c r="AR85" s="51"/>
      <c r="AU85" s="147" t="s">
        <v>72</v>
      </c>
      <c r="AV85" s="147" t="s">
        <v>72</v>
      </c>
    </row>
    <row r="86" spans="44:48" ht="15.75" customHeight="1" x14ac:dyDescent="0.15">
      <c r="AR86" s="51"/>
      <c r="AU86" s="147" t="s">
        <v>72</v>
      </c>
      <c r="AV86" s="147" t="s">
        <v>72</v>
      </c>
    </row>
    <row r="87" spans="44:48" ht="15.75" customHeight="1" x14ac:dyDescent="0.15">
      <c r="AR87" s="51"/>
      <c r="AU87" s="147" t="s">
        <v>72</v>
      </c>
      <c r="AV87" s="147" t="s">
        <v>72</v>
      </c>
    </row>
    <row r="88" spans="44:48" ht="15.75" customHeight="1" x14ac:dyDescent="0.15">
      <c r="AR88" s="51"/>
      <c r="AU88" s="147" t="s">
        <v>72</v>
      </c>
      <c r="AV88" s="147" t="s">
        <v>72</v>
      </c>
    </row>
    <row r="89" spans="44:48" ht="15.75" customHeight="1" x14ac:dyDescent="0.15">
      <c r="AR89" s="51"/>
      <c r="AU89" s="147" t="s">
        <v>72</v>
      </c>
      <c r="AV89" s="147" t="s">
        <v>72</v>
      </c>
    </row>
    <row r="90" spans="44:48" ht="15.75" customHeight="1" x14ac:dyDescent="0.15">
      <c r="AR90" s="51"/>
      <c r="AU90" s="147" t="s">
        <v>72</v>
      </c>
      <c r="AV90" s="147" t="s">
        <v>72</v>
      </c>
    </row>
    <row r="91" spans="44:48" ht="15.75" customHeight="1" x14ac:dyDescent="0.15">
      <c r="AR91" s="51"/>
      <c r="AU91" s="147" t="s">
        <v>72</v>
      </c>
      <c r="AV91" s="147" t="s">
        <v>72</v>
      </c>
    </row>
    <row r="92" spans="44:48" ht="15.75" customHeight="1" x14ac:dyDescent="0.15">
      <c r="AR92" s="51"/>
      <c r="AU92" s="147" t="s">
        <v>72</v>
      </c>
      <c r="AV92" s="147" t="s">
        <v>72</v>
      </c>
    </row>
    <row r="93" spans="44:48" ht="15.75" customHeight="1" x14ac:dyDescent="0.15">
      <c r="AR93" s="51"/>
      <c r="AU93" s="147" t="s">
        <v>72</v>
      </c>
      <c r="AV93" s="147" t="s">
        <v>72</v>
      </c>
    </row>
    <row r="94" spans="44:48" ht="15.75" customHeight="1" x14ac:dyDescent="0.15">
      <c r="AR94" s="51"/>
      <c r="AU94" s="147" t="s">
        <v>72</v>
      </c>
      <c r="AV94" s="147" t="s">
        <v>72</v>
      </c>
    </row>
    <row r="95" spans="44:48" ht="15.75" customHeight="1" x14ac:dyDescent="0.15">
      <c r="AR95" s="51"/>
      <c r="AU95" s="147" t="s">
        <v>72</v>
      </c>
      <c r="AV95" s="147" t="s">
        <v>72</v>
      </c>
    </row>
    <row r="96" spans="44:48" ht="15.75" customHeight="1" x14ac:dyDescent="0.15">
      <c r="AR96" s="51"/>
      <c r="AU96" s="147" t="s">
        <v>72</v>
      </c>
      <c r="AV96" s="147" t="s">
        <v>72</v>
      </c>
    </row>
    <row r="97" spans="44:48" ht="15.75" customHeight="1" x14ac:dyDescent="0.15">
      <c r="AR97" s="51"/>
      <c r="AU97" s="147" t="s">
        <v>72</v>
      </c>
      <c r="AV97" s="147" t="s">
        <v>72</v>
      </c>
    </row>
    <row r="98" spans="44:48" ht="15.75" customHeight="1" x14ac:dyDescent="0.15">
      <c r="AR98" s="51"/>
      <c r="AU98" s="147" t="s">
        <v>72</v>
      </c>
      <c r="AV98" s="147" t="s">
        <v>72</v>
      </c>
    </row>
    <row r="99" spans="44:48" ht="15.75" customHeight="1" x14ac:dyDescent="0.15">
      <c r="AR99" s="51"/>
      <c r="AU99" s="147" t="s">
        <v>72</v>
      </c>
      <c r="AV99" s="147" t="s">
        <v>72</v>
      </c>
    </row>
    <row r="100" spans="44:48" ht="15.75" customHeight="1" x14ac:dyDescent="0.15">
      <c r="AR100" s="51"/>
      <c r="AU100" s="147" t="s">
        <v>72</v>
      </c>
      <c r="AV100" s="147" t="s">
        <v>72</v>
      </c>
    </row>
    <row r="101" spans="44:48" ht="15.75" customHeight="1" x14ac:dyDescent="0.15">
      <c r="AR101" s="51"/>
      <c r="AU101" s="147" t="s">
        <v>72</v>
      </c>
      <c r="AV101" s="147" t="s">
        <v>72</v>
      </c>
    </row>
    <row r="102" spans="44:48" ht="15.75" customHeight="1" x14ac:dyDescent="0.15">
      <c r="AR102" s="51"/>
      <c r="AU102" s="147" t="s">
        <v>72</v>
      </c>
      <c r="AV102" s="147" t="s">
        <v>72</v>
      </c>
    </row>
    <row r="103" spans="44:48" ht="15.75" customHeight="1" x14ac:dyDescent="0.15">
      <c r="AR103" s="51"/>
      <c r="AU103" s="147" t="s">
        <v>72</v>
      </c>
      <c r="AV103" s="147" t="s">
        <v>72</v>
      </c>
    </row>
    <row r="104" spans="44:48" ht="15.75" customHeight="1" x14ac:dyDescent="0.15">
      <c r="AR104" s="51"/>
      <c r="AU104" s="147" t="s">
        <v>72</v>
      </c>
      <c r="AV104" s="147" t="s">
        <v>72</v>
      </c>
    </row>
    <row r="105" spans="44:48" ht="15.75" customHeight="1" x14ac:dyDescent="0.15">
      <c r="AR105" s="51"/>
      <c r="AU105" s="147" t="s">
        <v>72</v>
      </c>
      <c r="AV105" s="147" t="s">
        <v>72</v>
      </c>
    </row>
    <row r="106" spans="44:48" ht="15.75" customHeight="1" x14ac:dyDescent="0.15">
      <c r="AR106" s="51"/>
      <c r="AU106" s="147" t="s">
        <v>72</v>
      </c>
      <c r="AV106" s="147" t="s">
        <v>72</v>
      </c>
    </row>
    <row r="107" spans="44:48" ht="15.75" customHeight="1" x14ac:dyDescent="0.15">
      <c r="AR107" s="51"/>
      <c r="AU107" s="147" t="s">
        <v>72</v>
      </c>
      <c r="AV107" s="147" t="s">
        <v>72</v>
      </c>
    </row>
    <row r="108" spans="44:48" ht="15.75" customHeight="1" x14ac:dyDescent="0.15">
      <c r="AR108" s="51"/>
      <c r="AU108" s="147" t="s">
        <v>72</v>
      </c>
      <c r="AV108" s="147" t="s">
        <v>72</v>
      </c>
    </row>
    <row r="109" spans="44:48" ht="15.75" customHeight="1" x14ac:dyDescent="0.15">
      <c r="AR109" s="51"/>
      <c r="AU109" s="147" t="s">
        <v>72</v>
      </c>
      <c r="AV109" s="147" t="s">
        <v>72</v>
      </c>
    </row>
    <row r="110" spans="44:48" ht="15.75" customHeight="1" x14ac:dyDescent="0.15">
      <c r="AR110" s="51"/>
      <c r="AU110" s="147" t="s">
        <v>72</v>
      </c>
      <c r="AV110" s="147" t="s">
        <v>72</v>
      </c>
    </row>
    <row r="111" spans="44:48" ht="15.75" customHeight="1" x14ac:dyDescent="0.15">
      <c r="AR111" s="51"/>
      <c r="AU111" s="147" t="s">
        <v>72</v>
      </c>
      <c r="AV111" s="147" t="s">
        <v>72</v>
      </c>
    </row>
    <row r="112" spans="44:48" ht="15.75" customHeight="1" x14ac:dyDescent="0.15">
      <c r="AR112" s="51"/>
      <c r="AU112" s="147" t="s">
        <v>72</v>
      </c>
      <c r="AV112" s="147" t="s">
        <v>72</v>
      </c>
    </row>
    <row r="113" spans="44:48" ht="15.75" customHeight="1" x14ac:dyDescent="0.15">
      <c r="AR113" s="51"/>
      <c r="AU113" s="147" t="s">
        <v>72</v>
      </c>
      <c r="AV113" s="147" t="s">
        <v>72</v>
      </c>
    </row>
    <row r="114" spans="44:48" ht="15.75" customHeight="1" x14ac:dyDescent="0.15"/>
    <row r="115" spans="44:48" ht="15.75" customHeight="1" x14ac:dyDescent="0.15"/>
    <row r="116" spans="44:48" ht="15.75" customHeight="1" x14ac:dyDescent="0.15"/>
    <row r="117" spans="44:48" ht="15.75" customHeight="1" x14ac:dyDescent="0.15"/>
    <row r="118" spans="44:48" ht="15.75" customHeight="1" x14ac:dyDescent="0.15"/>
    <row r="119" spans="44:48" ht="15.75" customHeight="1" x14ac:dyDescent="0.15"/>
    <row r="120" spans="44:48" ht="15.75" customHeight="1" x14ac:dyDescent="0.15"/>
    <row r="121" spans="44:48" ht="15.75" customHeight="1" x14ac:dyDescent="0.15"/>
    <row r="122" spans="44:48" ht="15.75" customHeight="1" x14ac:dyDescent="0.15"/>
    <row r="123" spans="44:48" ht="15.75" customHeight="1" x14ac:dyDescent="0.15"/>
    <row r="124" spans="44:48" ht="15.75" customHeight="1" x14ac:dyDescent="0.15"/>
    <row r="125" spans="44:48" ht="15.75" customHeight="1" x14ac:dyDescent="0.15"/>
    <row r="126" spans="44:48" ht="15.75" customHeight="1" x14ac:dyDescent="0.15"/>
    <row r="127" spans="44:48" ht="15.75" customHeight="1" x14ac:dyDescent="0.15"/>
    <row r="128" spans="44:4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</sheetData>
  <mergeCells count="203">
    <mergeCell ref="B33:C34"/>
    <mergeCell ref="B35:C36"/>
    <mergeCell ref="B38:C39"/>
    <mergeCell ref="B41:C42"/>
    <mergeCell ref="B45:C46"/>
    <mergeCell ref="V13:W15"/>
    <mergeCell ref="V17:W18"/>
    <mergeCell ref="V20:W22"/>
    <mergeCell ref="V23:W24"/>
    <mergeCell ref="V25:W26"/>
    <mergeCell ref="V27:W28"/>
    <mergeCell ref="V29:W30"/>
    <mergeCell ref="V31:W32"/>
    <mergeCell ref="V33:W34"/>
    <mergeCell ref="V35:W36"/>
    <mergeCell ref="V38:W39"/>
    <mergeCell ref="V41:W42"/>
    <mergeCell ref="V45:W46"/>
    <mergeCell ref="V43:W43"/>
    <mergeCell ref="V44:W44"/>
    <mergeCell ref="V47:W47"/>
    <mergeCell ref="X21:AE21"/>
    <mergeCell ref="X22:AE22"/>
    <mergeCell ref="X32:AE32"/>
    <mergeCell ref="X33:AE33"/>
    <mergeCell ref="X34:AE34"/>
    <mergeCell ref="X35:AE35"/>
    <mergeCell ref="X36:AE36"/>
    <mergeCell ref="X37:AE37"/>
    <mergeCell ref="X38:AE38"/>
    <mergeCell ref="X39:AE39"/>
    <mergeCell ref="X40:AE40"/>
    <mergeCell ref="X41:AE41"/>
    <mergeCell ref="X42:AE42"/>
    <mergeCell ref="X43:AE43"/>
    <mergeCell ref="X44:AE44"/>
    <mergeCell ref="X45:AE45"/>
    <mergeCell ref="X46:AE46"/>
    <mergeCell ref="X47:AE47"/>
    <mergeCell ref="V37:W37"/>
    <mergeCell ref="V40:W40"/>
    <mergeCell ref="V12:W12"/>
    <mergeCell ref="V16:W16"/>
    <mergeCell ref="V19:W19"/>
    <mergeCell ref="A45:A46"/>
    <mergeCell ref="B12:C12"/>
    <mergeCell ref="B16:C16"/>
    <mergeCell ref="B19:C19"/>
    <mergeCell ref="A35:A36"/>
    <mergeCell ref="A38:A39"/>
    <mergeCell ref="A41:A42"/>
    <mergeCell ref="B37:C37"/>
    <mergeCell ref="B40:C40"/>
    <mergeCell ref="B43:C43"/>
    <mergeCell ref="B44:C44"/>
    <mergeCell ref="B47:C47"/>
    <mergeCell ref="D35:U35"/>
    <mergeCell ref="D36:U36"/>
    <mergeCell ref="A29:A30"/>
    <mergeCell ref="A31:A32"/>
    <mergeCell ref="A33:A34"/>
    <mergeCell ref="D30:U30"/>
    <mergeCell ref="D31:U31"/>
    <mergeCell ref="D32:U32"/>
    <mergeCell ref="D33:U33"/>
    <mergeCell ref="D34:U34"/>
    <mergeCell ref="D37:U37"/>
    <mergeCell ref="D38:U38"/>
    <mergeCell ref="D39:U39"/>
    <mergeCell ref="D40:U40"/>
    <mergeCell ref="D41:U41"/>
    <mergeCell ref="D42:U42"/>
    <mergeCell ref="A23:A24"/>
    <mergeCell ref="A25:A26"/>
    <mergeCell ref="A27:A28"/>
    <mergeCell ref="D43:U43"/>
    <mergeCell ref="D44:U44"/>
    <mergeCell ref="D45:U45"/>
    <mergeCell ref="D46:U46"/>
    <mergeCell ref="D47:U47"/>
    <mergeCell ref="A13:A15"/>
    <mergeCell ref="A17:A18"/>
    <mergeCell ref="A20:A22"/>
    <mergeCell ref="D14:U14"/>
    <mergeCell ref="D15:U15"/>
    <mergeCell ref="D17:U17"/>
    <mergeCell ref="D19:U19"/>
    <mergeCell ref="D20:U20"/>
    <mergeCell ref="D21:U21"/>
    <mergeCell ref="B52:C52"/>
    <mergeCell ref="B53:C53"/>
    <mergeCell ref="D52:U52"/>
    <mergeCell ref="V53:W53"/>
    <mergeCell ref="V48:W48"/>
    <mergeCell ref="AF54:AH54"/>
    <mergeCell ref="AI51:AL51"/>
    <mergeCell ref="AI52:AL52"/>
    <mergeCell ref="AF52:AH52"/>
    <mergeCell ref="X51:AE51"/>
    <mergeCell ref="X54:AE54"/>
    <mergeCell ref="D53:U53"/>
    <mergeCell ref="Y64:AD64"/>
    <mergeCell ref="Y65:AD65"/>
    <mergeCell ref="H60:I60"/>
    <mergeCell ref="J60:K60"/>
    <mergeCell ref="J59:K59"/>
    <mergeCell ref="M59:R59"/>
    <mergeCell ref="V54:W54"/>
    <mergeCell ref="V55:W55"/>
    <mergeCell ref="A60:G60"/>
    <mergeCell ref="H57:I57"/>
    <mergeCell ref="J57:K57"/>
    <mergeCell ref="H58:I58"/>
    <mergeCell ref="J58:K58"/>
    <mergeCell ref="N58:O58"/>
    <mergeCell ref="Q58:R58"/>
    <mergeCell ref="H59:I59"/>
    <mergeCell ref="S64:X64"/>
    <mergeCell ref="S63:X63"/>
    <mergeCell ref="V52:W52"/>
    <mergeCell ref="X52:AE52"/>
    <mergeCell ref="D18:U18"/>
    <mergeCell ref="D16:U16"/>
    <mergeCell ref="A2:AL2"/>
    <mergeCell ref="A3:AL3"/>
    <mergeCell ref="E6:N6"/>
    <mergeCell ref="AE6:AL6"/>
    <mergeCell ref="E7:N7"/>
    <mergeCell ref="AE7:AL7"/>
    <mergeCell ref="AE8:AL8"/>
    <mergeCell ref="E8:N8"/>
    <mergeCell ref="E9:N9"/>
    <mergeCell ref="AE9:AG9"/>
    <mergeCell ref="AI9:AL9"/>
    <mergeCell ref="AI11:AL11"/>
    <mergeCell ref="B11:C11"/>
    <mergeCell ref="D11:U11"/>
    <mergeCell ref="V11:W11"/>
    <mergeCell ref="X11:AE11"/>
    <mergeCell ref="AF11:AH11"/>
    <mergeCell ref="AF50:AH50"/>
    <mergeCell ref="D51:U51"/>
    <mergeCell ref="V51:W51"/>
    <mergeCell ref="A48:C48"/>
    <mergeCell ref="X48:AL48"/>
    <mergeCell ref="M64:R64"/>
    <mergeCell ref="M65:R65"/>
    <mergeCell ref="D50:U50"/>
    <mergeCell ref="X50:AE50"/>
    <mergeCell ref="M63:R63"/>
    <mergeCell ref="Y63:AD63"/>
    <mergeCell ref="B59:G59"/>
    <mergeCell ref="B58:G58"/>
    <mergeCell ref="A57:G57"/>
    <mergeCell ref="A55:U55"/>
    <mergeCell ref="A54:U54"/>
    <mergeCell ref="AI54:AL54"/>
    <mergeCell ref="X55:AL55"/>
    <mergeCell ref="AE57:AL65"/>
    <mergeCell ref="Y59:AD59"/>
    <mergeCell ref="S59:X59"/>
    <mergeCell ref="S65:X65"/>
    <mergeCell ref="AI50:AL50"/>
    <mergeCell ref="AF51:AH51"/>
    <mergeCell ref="B51:C51"/>
    <mergeCell ref="V50:W50"/>
    <mergeCell ref="B50:C50"/>
    <mergeCell ref="D23:U23"/>
    <mergeCell ref="D24:U24"/>
    <mergeCell ref="D25:U25"/>
    <mergeCell ref="D26:U26"/>
    <mergeCell ref="D27:U27"/>
    <mergeCell ref="D28:U28"/>
    <mergeCell ref="D29:U29"/>
    <mergeCell ref="D13:U13"/>
    <mergeCell ref="D12:U12"/>
    <mergeCell ref="D22:U22"/>
    <mergeCell ref="B13:C15"/>
    <mergeCell ref="B17:C18"/>
    <mergeCell ref="B20:C22"/>
    <mergeCell ref="B23:C24"/>
    <mergeCell ref="B25:C26"/>
    <mergeCell ref="B27:C28"/>
    <mergeCell ref="B29:C30"/>
    <mergeCell ref="B31:C32"/>
    <mergeCell ref="X12:AE12"/>
    <mergeCell ref="X13:AE13"/>
    <mergeCell ref="X14:AE14"/>
    <mergeCell ref="X15:AE15"/>
    <mergeCell ref="X16:AE16"/>
    <mergeCell ref="X17:AE17"/>
    <mergeCell ref="X18:AE18"/>
    <mergeCell ref="X19:AE19"/>
    <mergeCell ref="X20:AE20"/>
    <mergeCell ref="X23:AE23"/>
    <mergeCell ref="X24:AE24"/>
    <mergeCell ref="X25:AE25"/>
    <mergeCell ref="X26:AE26"/>
    <mergeCell ref="X27:AE27"/>
    <mergeCell ref="X28:AE28"/>
    <mergeCell ref="X29:AE29"/>
    <mergeCell ref="X30:AE30"/>
    <mergeCell ref="X31:AE31"/>
  </mergeCells>
  <phoneticPr fontId="21" type="noConversion"/>
  <hyperlinks>
    <hyperlink ref="X12" r:id="rId1" xr:uid="{A6AFE2BB-9139-6B49-8545-7DE5926436A4}"/>
    <hyperlink ref="X13" r:id="rId2" xr:uid="{A2FC46CD-0EF3-7047-9518-EAD8AF4C8298}"/>
    <hyperlink ref="X14" r:id="rId3" xr:uid="{74E97B40-1F42-7847-93D0-69D34771066C}"/>
    <hyperlink ref="X15" r:id="rId4" xr:uid="{F657B54F-7953-A742-8D0D-8591FF81521A}"/>
    <hyperlink ref="X16" r:id="rId5" xr:uid="{FA347C06-53C6-A14C-A752-F28BFDD1D8E3}"/>
    <hyperlink ref="X17" r:id="rId6" xr:uid="{E010E2D3-17D6-A846-AE77-60CAD5CBEC59}"/>
    <hyperlink ref="X18" r:id="rId7" xr:uid="{4DC0821F-0B22-A74F-AB26-0D30DDFDCD0D}"/>
    <hyperlink ref="X19" r:id="rId8" xr:uid="{45B843BF-6ED4-1443-A74F-B7628684B055}"/>
    <hyperlink ref="X20" r:id="rId9" xr:uid="{50107122-DB6D-1C46-889B-EB8C1D5E5EE1}"/>
    <hyperlink ref="X21" r:id="rId10" xr:uid="{C6C36EAA-A694-3740-92B0-83A3663B0137}"/>
    <hyperlink ref="X22" r:id="rId11" xr:uid="{C835CA8D-7942-1347-A695-88B0FB5318D1}"/>
    <hyperlink ref="X23" r:id="rId12" xr:uid="{62284209-48B3-5C4A-A05F-46A9F10167FB}"/>
    <hyperlink ref="X24" r:id="rId13" xr:uid="{13707824-7B5D-494A-9395-D3A012E4EAFD}"/>
    <hyperlink ref="X25" r:id="rId14" xr:uid="{D5822057-5EF3-744D-A7DE-C6BB564CBB31}"/>
    <hyperlink ref="X26" r:id="rId15" xr:uid="{93659E21-822D-0949-AE6B-3FA107D80D14}"/>
    <hyperlink ref="X27" r:id="rId16" xr:uid="{3852A445-250D-B14A-8B5A-47ACABFFC023}"/>
    <hyperlink ref="X28" r:id="rId17" xr:uid="{FF7FD31A-ACE0-1347-BC01-9D1F5AE5E424}"/>
    <hyperlink ref="X29" r:id="rId18" xr:uid="{D51F4AEC-C4A1-E249-B96D-76C0F3650788}"/>
    <hyperlink ref="X30" r:id="rId19" xr:uid="{F5A6FC3D-00FD-AB43-90A8-01058969C2B6}"/>
    <hyperlink ref="X31" r:id="rId20" xr:uid="{A646CF62-D32F-B341-9508-F029BAEC9BFB}"/>
    <hyperlink ref="X32" r:id="rId21" xr:uid="{508402FD-A568-504E-84D6-3C6F71144C94}"/>
    <hyperlink ref="X33" r:id="rId22" xr:uid="{3D4E661E-2715-3A41-8880-8EA7B80EA70F}"/>
    <hyperlink ref="X34" r:id="rId23" xr:uid="{B40676D4-F19C-644E-8DC0-5B3288E06BA2}"/>
    <hyperlink ref="X35" r:id="rId24" xr:uid="{5814BCB7-B278-9F4C-8A56-D5DE19B0E0F0}"/>
    <hyperlink ref="X36" r:id="rId25" xr:uid="{86CD3344-26F0-614C-B5BC-F7145ED905B5}"/>
    <hyperlink ref="X37" r:id="rId26" xr:uid="{3828E334-1E4A-9044-B6CD-72BAF34A7C86}"/>
    <hyperlink ref="X38" r:id="rId27" xr:uid="{23DCBEE5-F0F7-1F49-AA8A-B45C37B4A189}"/>
    <hyperlink ref="X39" r:id="rId28" xr:uid="{069BB59C-AC1B-AB4A-B14D-B86DA5CC58F1}"/>
    <hyperlink ref="X40" r:id="rId29" xr:uid="{9153AF3A-266C-9E40-9886-14C2488C0834}"/>
    <hyperlink ref="X41" r:id="rId30" xr:uid="{9BC7502B-E17D-4A4A-B1C3-7926E76A577E}"/>
    <hyperlink ref="X42" r:id="rId31" xr:uid="{802077BA-8640-9E45-960C-47A3F41404CA}"/>
    <hyperlink ref="X43" r:id="rId32" xr:uid="{4253A64B-3DA0-9045-B4E1-E5B938CABE37}"/>
    <hyperlink ref="X44" r:id="rId33" xr:uid="{850D7EEC-2ED0-A64B-B450-89CC769CEB2A}"/>
    <hyperlink ref="X45" r:id="rId34" xr:uid="{9243D472-CBFA-804E-BC00-C319E2E39892}"/>
    <hyperlink ref="X46" r:id="rId35" xr:uid="{BFE718BB-2883-4F48-AE1E-0EA65720F684}"/>
    <hyperlink ref="X47" r:id="rId36" xr:uid="{8EF0340C-0ED6-3F4B-AB8C-3A846EC15FE4}"/>
  </hyperlinks>
  <pageMargins left="1.6" right="1" top="1.5" bottom="1" header="0.5" footer="0.5"/>
  <pageSetup paperSize="9" scale="56" fitToHeight="2" orientation="landscape" r:id="rId37"/>
  <drawing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PERHITUNGAN LEMBAR KERJA</vt:lpstr>
      <vt:lpstr>MANDAYS CONSUMPTION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annas anuraga</cp:lastModifiedBy>
  <cp:lastPrinted>2025-02-25T18:52:50Z</cp:lastPrinted>
  <dcterms:created xsi:type="dcterms:W3CDTF">2024-06-26T04:00:35Z</dcterms:created>
  <dcterms:modified xsi:type="dcterms:W3CDTF">2026-04-27T03:28:00Z</dcterms:modified>
</cp:coreProperties>
</file>